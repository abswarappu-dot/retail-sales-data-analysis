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bswa\Downloads\"/>
    </mc:Choice>
  </mc:AlternateContent>
  <xr:revisionPtr revIDLastSave="0" documentId="8_{BE98BD84-08D7-40ED-AE55-03F8F187727C}" xr6:coauthVersionLast="47" xr6:coauthVersionMax="47" xr10:uidLastSave="{00000000-0000-0000-0000-000000000000}"/>
  <bookViews>
    <workbookView xWindow="3972" yWindow="3456" windowWidth="17280" windowHeight="8880" activeTab="1" xr2:uid="{00000000-000D-0000-FFFF-FFFF00000000}"/>
  </bookViews>
  <sheets>
    <sheet name="RETAIL SALES DATA." sheetId="1" r:id="rId1"/>
    <sheet name="Sheet1" sheetId="2" r:id="rId2"/>
  </sheets>
  <definedNames>
    <definedName name="_xlnm._FilterDatabase" localSheetId="0" hidden="1">'RETAIL SALES DATA.'!$AI$33:$AI$45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WrVq3meO5j9ASNGa6uWXXqdeGbuJ5cjJmdBPpIUpp6I="/>
    </ext>
  </extLst>
</workbook>
</file>

<file path=xl/calcChain.xml><?xml version="1.0" encoding="utf-8"?>
<calcChain xmlns="http://schemas.openxmlformats.org/spreadsheetml/2006/main">
  <c r="B48" i="2" l="1" a="1"/>
  <c r="B48" i="2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2" i="1"/>
  <c r="V3" i="1"/>
  <c r="V4" i="1"/>
  <c r="V5" i="1"/>
  <c r="V6" i="1"/>
  <c r="V7" i="1"/>
  <c r="V8" i="1"/>
  <c r="V9" i="1"/>
  <c r="V10" i="1"/>
  <c r="AE17" i="1" s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AC14" i="1" s="1"/>
  <c r="V995" i="1"/>
  <c r="V996" i="1"/>
  <c r="V997" i="1"/>
  <c r="V998" i="1"/>
  <c r="V999" i="1"/>
  <c r="V1000" i="1"/>
  <c r="V1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2" i="1"/>
  <c r="J4" i="2"/>
  <c r="J5" i="2"/>
  <c r="J6" i="2"/>
  <c r="B41" i="2" a="1"/>
  <c r="B41" i="2" s="1"/>
  <c r="C41" i="2" s="1"/>
  <c r="B33" i="2" a="1"/>
  <c r="B33" i="2" s="1"/>
  <c r="C33" i="2" s="1"/>
  <c r="B28" i="2"/>
  <c r="C28" i="2"/>
  <c r="C20" i="2"/>
  <c r="D20" i="2"/>
  <c r="C21" i="2"/>
  <c r="D21" i="2"/>
  <c r="C2" i="2" a="1"/>
  <c r="B16" i="2" s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" i="1"/>
  <c r="S7" i="1"/>
  <c r="S6" i="1"/>
  <c r="S5" i="1"/>
  <c r="S4" i="1"/>
  <c r="S3" i="1"/>
  <c r="S2" i="1"/>
  <c r="AE43" i="1" l="1" a="1"/>
  <c r="AE43" i="1" s="1"/>
  <c r="AC12" i="1"/>
  <c r="AD32" i="1"/>
  <c r="AC16" i="1"/>
  <c r="AJ16" i="1"/>
  <c r="AD22" i="1"/>
  <c r="AC37" i="1"/>
  <c r="AD12" i="1"/>
  <c r="AE22" i="1"/>
  <c r="AE23" i="1"/>
  <c r="AE16" i="1"/>
  <c r="D98" i="2"/>
  <c r="D99" i="2"/>
  <c r="AD16" i="1"/>
  <c r="AD14" i="1"/>
  <c r="AJ15" i="1"/>
  <c r="AE13" i="1"/>
  <c r="AE18" i="1"/>
  <c r="AE12" i="1"/>
  <c r="AE21" i="1"/>
  <c r="AD17" i="1"/>
  <c r="AE19" i="1"/>
  <c r="AD21" i="1"/>
  <c r="AC17" i="1"/>
  <c r="AD31" i="1"/>
  <c r="AC19" i="1"/>
  <c r="AE15" i="1"/>
  <c r="AD19" i="1"/>
  <c r="AJ17" i="1"/>
  <c r="AC22" i="1"/>
  <c r="AC18" i="1"/>
  <c r="AC15" i="1"/>
  <c r="AE14" i="1"/>
  <c r="AD15" i="1"/>
  <c r="B13" i="2"/>
  <c r="AC21" i="1"/>
  <c r="D66" i="2"/>
  <c r="AC23" i="1"/>
  <c r="AD13" i="1"/>
  <c r="C55" i="2"/>
  <c r="AD23" i="1"/>
  <c r="C54" i="2"/>
  <c r="D65" i="2"/>
  <c r="AC13" i="1"/>
  <c r="AD18" i="1"/>
  <c r="D67" i="2"/>
  <c r="AE20" i="1"/>
  <c r="AD20" i="1"/>
  <c r="AC20" i="1"/>
  <c r="C65" i="2" a="1"/>
  <c r="C65" i="2" s="1"/>
  <c r="C58" i="2"/>
  <c r="C59" i="2"/>
  <c r="C51" i="2"/>
  <c r="C48" i="2"/>
  <c r="C50" i="2"/>
  <c r="C49" i="2"/>
  <c r="C34" i="2"/>
  <c r="C44" i="2"/>
  <c r="C43" i="2"/>
  <c r="C42" i="2"/>
  <c r="C36" i="2"/>
  <c r="C35" i="2"/>
  <c r="B5" i="2"/>
  <c r="B6" i="2"/>
  <c r="B7" i="2"/>
  <c r="B8" i="2"/>
  <c r="B9" i="2"/>
  <c r="B10" i="2"/>
  <c r="B11" i="2"/>
  <c r="B12" i="2"/>
  <c r="C2" i="2"/>
  <c r="B2" i="2" s="1"/>
  <c r="B14" i="2"/>
  <c r="B3" i="2"/>
  <c r="B15" i="2"/>
  <c r="B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<sst xmlns="http://schemas.openxmlformats.org/spreadsheetml/2006/main" count="7107" uniqueCount="2337">
  <si>
    <t>Order_ID</t>
  </si>
  <si>
    <t>Customer_Name</t>
  </si>
  <si>
    <t>Product_Name</t>
  </si>
  <si>
    <t>Product_Category</t>
  </si>
  <si>
    <t>Region</t>
  </si>
  <si>
    <t>Sales_Quantity</t>
  </si>
  <si>
    <t>Unit_Price</t>
  </si>
  <si>
    <t>Sales_Amount</t>
  </si>
  <si>
    <t>Cost</t>
  </si>
  <si>
    <t>Profit</t>
  </si>
  <si>
    <t>Order_Date</t>
  </si>
  <si>
    <t>Delivery_Date</t>
  </si>
  <si>
    <t>Employee_Name</t>
  </si>
  <si>
    <t>Customer_Rating</t>
  </si>
  <si>
    <t>Login_Time</t>
  </si>
  <si>
    <t>Working_Hours</t>
  </si>
  <si>
    <t>ORD0001</t>
  </si>
  <si>
    <t>Michael Winters</t>
  </si>
  <si>
    <t>Pen</t>
  </si>
  <si>
    <t>Office Supplies</t>
  </si>
  <si>
    <t>South</t>
  </si>
  <si>
    <t>Rahul</t>
  </si>
  <si>
    <t>10:12:00</t>
  </si>
  <si>
    <t>ORD0002</t>
  </si>
  <si>
    <t>James Olson</t>
  </si>
  <si>
    <t>North</t>
  </si>
  <si>
    <t>Megha</t>
  </si>
  <si>
    <t>08:15:00</t>
  </si>
  <si>
    <t>ORD0003</t>
  </si>
  <si>
    <t>Brittney Simmons</t>
  </si>
  <si>
    <t>Desk</t>
  </si>
  <si>
    <t>Furniture</t>
  </si>
  <si>
    <t>West</t>
  </si>
  <si>
    <t>Arun</t>
  </si>
  <si>
    <t>11:33:00</t>
  </si>
  <si>
    <t>ORD0004</t>
  </si>
  <si>
    <t>Courtney Park</t>
  </si>
  <si>
    <t>Marker</t>
  </si>
  <si>
    <t>Vivek</t>
  </si>
  <si>
    <t>11:19:00</t>
  </si>
  <si>
    <t>ORD0005</t>
  </si>
  <si>
    <t>Chloe Villa</t>
  </si>
  <si>
    <t>Laptop</t>
  </si>
  <si>
    <t>Electronics</t>
  </si>
  <si>
    <t>East</t>
  </si>
  <si>
    <t>Diya</t>
  </si>
  <si>
    <t>10:02:00</t>
  </si>
  <si>
    <t>ORD0006</t>
  </si>
  <si>
    <t>Erin Ross</t>
  </si>
  <si>
    <t>Mouse</t>
  </si>
  <si>
    <t>Fathima</t>
  </si>
  <si>
    <t>09:28:00</t>
  </si>
  <si>
    <t>ORD0007</t>
  </si>
  <si>
    <t>Ryan Brown</t>
  </si>
  <si>
    <t>08:18:00</t>
  </si>
  <si>
    <t>ORD0008</t>
  </si>
  <si>
    <t>Keith Winters</t>
  </si>
  <si>
    <t>Notebook</t>
  </si>
  <si>
    <t>Sneha</t>
  </si>
  <si>
    <t>09:04:00</t>
  </si>
  <si>
    <t>ORD0009</t>
  </si>
  <si>
    <t>Richard Payne</t>
  </si>
  <si>
    <t>Table</t>
  </si>
  <si>
    <t>11:17:00</t>
  </si>
  <si>
    <t>ORD0010</t>
  </si>
  <si>
    <t>Cory Roberson</t>
  </si>
  <si>
    <t>11:14:00</t>
  </si>
  <si>
    <t>ORD0011</t>
  </si>
  <si>
    <t>Amanda Cox</t>
  </si>
  <si>
    <t>Akhil</t>
  </si>
  <si>
    <t>ORD0012</t>
  </si>
  <si>
    <t>Joseph Allison</t>
  </si>
  <si>
    <t>Chair</t>
  </si>
  <si>
    <t>11:34:00</t>
  </si>
  <si>
    <t>ORD0013</t>
  </si>
  <si>
    <t>Sarah Hernandez</t>
  </si>
  <si>
    <t>09:38:00</t>
  </si>
  <si>
    <t>ORD0014</t>
  </si>
  <si>
    <t>John Dixon</t>
  </si>
  <si>
    <t>10:16:00</t>
  </si>
  <si>
    <t>ORD0015</t>
  </si>
  <si>
    <t>Javier Cole</t>
  </si>
  <si>
    <t>09:13:00</t>
  </si>
  <si>
    <t>ORD0016</t>
  </si>
  <si>
    <t>Nathan Kline</t>
  </si>
  <si>
    <t>10:56:00</t>
  </si>
  <si>
    <t>ORD0017</t>
  </si>
  <si>
    <t>Miss Christina Taylor</t>
  </si>
  <si>
    <t>Cupboard</t>
  </si>
  <si>
    <t>10:58:00</t>
  </si>
  <si>
    <t>ORD0018</t>
  </si>
  <si>
    <t>Martin Morton</t>
  </si>
  <si>
    <t>09:20:00</t>
  </si>
  <si>
    <t>ORD0019</t>
  </si>
  <si>
    <t>Adam Mullins</t>
  </si>
  <si>
    <t>Printer</t>
  </si>
  <si>
    <t>08:53:00</t>
  </si>
  <si>
    <t>ORD0020</t>
  </si>
  <si>
    <t>Sean Rodriguez</t>
  </si>
  <si>
    <t>11:20:00</t>
  </si>
  <si>
    <t>ORD0021</t>
  </si>
  <si>
    <t>Joseph Mora</t>
  </si>
  <si>
    <t>10:52:00</t>
  </si>
  <si>
    <t>ORD0022</t>
  </si>
  <si>
    <t>Deborah Hernandez</t>
  </si>
  <si>
    <t>09:23:00</t>
  </si>
  <si>
    <t>ORD0023</t>
  </si>
  <si>
    <t>Elizabeth Moore</t>
  </si>
  <si>
    <t>11:43:00</t>
  </si>
  <si>
    <t>ORD0024</t>
  </si>
  <si>
    <t>Melissa Davis</t>
  </si>
  <si>
    <t>11:42:00</t>
  </si>
  <si>
    <t>ORD0025</t>
  </si>
  <si>
    <t>Andrew Gould</t>
  </si>
  <si>
    <t>10:39:00</t>
  </si>
  <si>
    <t>ORD0026</t>
  </si>
  <si>
    <t>Glen Scott</t>
  </si>
  <si>
    <t>10:07:00</t>
  </si>
  <si>
    <t>ORD0027</t>
  </si>
  <si>
    <t>Isaac Fisher</t>
  </si>
  <si>
    <t>10:46:00</t>
  </si>
  <si>
    <t>ORD0028</t>
  </si>
  <si>
    <t>Matthew Hanson</t>
  </si>
  <si>
    <t>Nikhil</t>
  </si>
  <si>
    <t>08:32:00</t>
  </si>
  <si>
    <t>ORD0029</t>
  </si>
  <si>
    <t>Jamie Benton</t>
  </si>
  <si>
    <t>10:55:00</t>
  </si>
  <si>
    <t>ORD0030</t>
  </si>
  <si>
    <t>Kristy Sullivan</t>
  </si>
  <si>
    <t>10:42:00</t>
  </si>
  <si>
    <t>ORD0031</t>
  </si>
  <si>
    <t>Carolyn Scott</t>
  </si>
  <si>
    <t>10:01:00</t>
  </si>
  <si>
    <t>ORD0032</t>
  </si>
  <si>
    <t>Mary Day</t>
  </si>
  <si>
    <t>08:27:00</t>
  </si>
  <si>
    <t>ORD0033</t>
  </si>
  <si>
    <t>Matthew Fernandez</t>
  </si>
  <si>
    <t>Sofa</t>
  </si>
  <si>
    <t>ORD0034</t>
  </si>
  <si>
    <t>Tonya Gallegos</t>
  </si>
  <si>
    <t>ORD0035</t>
  </si>
  <si>
    <t>Jody Black</t>
  </si>
  <si>
    <t>File</t>
  </si>
  <si>
    <t>11:25:00</t>
  </si>
  <si>
    <t>ORD0036</t>
  </si>
  <si>
    <t>Laurie Flores</t>
  </si>
  <si>
    <t>11:39:00</t>
  </si>
  <si>
    <t>ORD0037</t>
  </si>
  <si>
    <t>Charles Logan</t>
  </si>
  <si>
    <t>08:56:00</t>
  </si>
  <si>
    <t>ORD0038</t>
  </si>
  <si>
    <t>Lori Petersen</t>
  </si>
  <si>
    <t>09:54:00</t>
  </si>
  <si>
    <t>ORD0039</t>
  </si>
  <si>
    <t>Roger Gutierrez</t>
  </si>
  <si>
    <t>ORD0040</t>
  </si>
  <si>
    <t>Arthur Anderson</t>
  </si>
  <si>
    <t>11:15:00</t>
  </si>
  <si>
    <t>ORD0041</t>
  </si>
  <si>
    <t>April Schmidt</t>
  </si>
  <si>
    <t>08:13:00</t>
  </si>
  <si>
    <t>ORD0042</t>
  </si>
  <si>
    <t>Amanda Holmes</t>
  </si>
  <si>
    <t>11:50:00</t>
  </si>
  <si>
    <t>ORD0043</t>
  </si>
  <si>
    <t>Emily Norton</t>
  </si>
  <si>
    <t>Keyboard</t>
  </si>
  <si>
    <t>10:26:00</t>
  </si>
  <si>
    <t>ORD0044</t>
  </si>
  <si>
    <t>Rachel Hooper</t>
  </si>
  <si>
    <t>09:40:00</t>
  </si>
  <si>
    <t>ORD0045</t>
  </si>
  <si>
    <t>Douglas Herman</t>
  </si>
  <si>
    <t>08:38:00</t>
  </si>
  <si>
    <t>ORD0046</t>
  </si>
  <si>
    <t>Rebecca Hawkins</t>
  </si>
  <si>
    <t>08:54:00</t>
  </si>
  <si>
    <t>ORD0047</t>
  </si>
  <si>
    <t>Shannon Harris</t>
  </si>
  <si>
    <t>Anjali</t>
  </si>
  <si>
    <t>ORD0048</t>
  </si>
  <si>
    <t>Jennifer Maxwell</t>
  </si>
  <si>
    <t>11:26:00</t>
  </si>
  <si>
    <t>ORD0049</t>
  </si>
  <si>
    <t>Melissa Edwards</t>
  </si>
  <si>
    <t>10:17:00</t>
  </si>
  <si>
    <t>ORD0050</t>
  </si>
  <si>
    <t>Heather Campbell</t>
  </si>
  <si>
    <t>ORD0051</t>
  </si>
  <si>
    <t>James Green</t>
  </si>
  <si>
    <t>08:43:00</t>
  </si>
  <si>
    <t>ORD0052</t>
  </si>
  <si>
    <t>Ashley Bowman</t>
  </si>
  <si>
    <t>Monitor</t>
  </si>
  <si>
    <t>09:37:00</t>
  </si>
  <si>
    <t>ORD0053</t>
  </si>
  <si>
    <t>William Allen</t>
  </si>
  <si>
    <t>11:45:00</t>
  </si>
  <si>
    <t>ORD0054</t>
  </si>
  <si>
    <t>Christina Henderson</t>
  </si>
  <si>
    <t>08:57:00</t>
  </si>
  <si>
    <t>ORD0055</t>
  </si>
  <si>
    <t>Brian Simon</t>
  </si>
  <si>
    <t>11:38:00</t>
  </si>
  <si>
    <t>ORD0056</t>
  </si>
  <si>
    <t>Marc Martinez</t>
  </si>
  <si>
    <t>11:48:00</t>
  </si>
  <si>
    <t>ORD0057</t>
  </si>
  <si>
    <t>Rose Garcia</t>
  </si>
  <si>
    <t>10:48:00</t>
  </si>
  <si>
    <t>ORD0058</t>
  </si>
  <si>
    <t>Christopher Richardson</t>
  </si>
  <si>
    <t>11:10:00</t>
  </si>
  <si>
    <t>ORD0059</t>
  </si>
  <si>
    <t>Larry Johnson</t>
  </si>
  <si>
    <t>ORD0060</t>
  </si>
  <si>
    <t>Mark Yang</t>
  </si>
  <si>
    <t>Smartphone</t>
  </si>
  <si>
    <t>10:57:00</t>
  </si>
  <si>
    <t>ORD0061</t>
  </si>
  <si>
    <t>Jill Garcia</t>
  </si>
  <si>
    <t>08:31:00</t>
  </si>
  <si>
    <t>ORD0062</t>
  </si>
  <si>
    <t>Anne Rodriguez</t>
  </si>
  <si>
    <t>11:00:00</t>
  </si>
  <si>
    <t>ORD0063</t>
  </si>
  <si>
    <t>Christopher Daniels</t>
  </si>
  <si>
    <t>11:36:00</t>
  </si>
  <si>
    <t>ORD0064</t>
  </si>
  <si>
    <t>Joshua Stevenson</t>
  </si>
  <si>
    <t>10:24:00</t>
  </si>
  <si>
    <t>ORD0065</t>
  </si>
  <si>
    <t>Caleb Schneider</t>
  </si>
  <si>
    <t>09:32:00</t>
  </si>
  <si>
    <t>ORD0066</t>
  </si>
  <si>
    <t>Rhonda Stone</t>
  </si>
  <si>
    <t>ORD0067</t>
  </si>
  <si>
    <t>Ricky Conner</t>
  </si>
  <si>
    <t>11:55:00</t>
  </si>
  <si>
    <t>ORD0068</t>
  </si>
  <si>
    <t>Alyssa Osborne</t>
  </si>
  <si>
    <t>08:26:00</t>
  </si>
  <si>
    <t>ORD0069</t>
  </si>
  <si>
    <t>Travis Avila</t>
  </si>
  <si>
    <t>09:26:00</t>
  </si>
  <si>
    <t>ORD0070</t>
  </si>
  <si>
    <t>Anthony Watts</t>
  </si>
  <si>
    <t>ORD0071</t>
  </si>
  <si>
    <t>Brenda Mitchell</t>
  </si>
  <si>
    <t>11:49:00</t>
  </si>
  <si>
    <t>ORD0072</t>
  </si>
  <si>
    <t>Elizabeth Warren</t>
  </si>
  <si>
    <t>08:34:00</t>
  </si>
  <si>
    <t>ORD0073</t>
  </si>
  <si>
    <t>Mrs. Annette Phillips</t>
  </si>
  <si>
    <t>11:28:00</t>
  </si>
  <si>
    <t>ORD0074</t>
  </si>
  <si>
    <t>Brandon Ford</t>
  </si>
  <si>
    <t>10:10:00</t>
  </si>
  <si>
    <t>ORD0075</t>
  </si>
  <si>
    <t>Shelia Hayes</t>
  </si>
  <si>
    <t>ORD0076</t>
  </si>
  <si>
    <t>John Williams</t>
  </si>
  <si>
    <t>ORD0077</t>
  </si>
  <si>
    <t>Stacy Davis</t>
  </si>
  <si>
    <t>11:40:00</t>
  </si>
  <si>
    <t>ORD0078</t>
  </si>
  <si>
    <t>Deborah Fields</t>
  </si>
  <si>
    <t>11:05:00</t>
  </si>
  <si>
    <t>ORD0079</t>
  </si>
  <si>
    <t>Shane Singleton</t>
  </si>
  <si>
    <t>10:43:00</t>
  </si>
  <si>
    <t>ORD0080</t>
  </si>
  <si>
    <t>Robin Moore</t>
  </si>
  <si>
    <t>08:58:00</t>
  </si>
  <si>
    <t>ORD0081</t>
  </si>
  <si>
    <t>Michael Rodriguez</t>
  </si>
  <si>
    <t>ORD0082</t>
  </si>
  <si>
    <t>Benjamin Cummings</t>
  </si>
  <si>
    <t>09:41:00</t>
  </si>
  <si>
    <t>ORD0083</t>
  </si>
  <si>
    <t>Dale Cook</t>
  </si>
  <si>
    <t>08:28:00</t>
  </si>
  <si>
    <t>ORD0084</t>
  </si>
  <si>
    <t>Nancy Scott</t>
  </si>
  <si>
    <t>ORD0085</t>
  </si>
  <si>
    <t>Juan Perry</t>
  </si>
  <si>
    <t>09:30:00</t>
  </si>
  <si>
    <t>ORD0086</t>
  </si>
  <si>
    <t>Christopher Johnson</t>
  </si>
  <si>
    <t>ORD0087</t>
  </si>
  <si>
    <t>Christopher Noble</t>
  </si>
  <si>
    <t>10:30:00</t>
  </si>
  <si>
    <t>ORD0088</t>
  </si>
  <si>
    <t>Alejandro Wilson</t>
  </si>
  <si>
    <t>10:00:00</t>
  </si>
  <si>
    <t>ORD0089</t>
  </si>
  <si>
    <t>Raymond Perez</t>
  </si>
  <si>
    <t>09:15:00</t>
  </si>
  <si>
    <t>ORD0090</t>
  </si>
  <si>
    <t>Tracy Parker</t>
  </si>
  <si>
    <t>ORD0091</t>
  </si>
  <si>
    <t>Katelyn Woods</t>
  </si>
  <si>
    <t>08:20:00</t>
  </si>
  <si>
    <t>ORD0092</t>
  </si>
  <si>
    <t>Michael Lindsey</t>
  </si>
  <si>
    <t>08:22:00</t>
  </si>
  <si>
    <t>ORD0093</t>
  </si>
  <si>
    <t>Jesse Davis</t>
  </si>
  <si>
    <t>ORD0094</t>
  </si>
  <si>
    <t>Katrina Hayes</t>
  </si>
  <si>
    <t>09:48:00</t>
  </si>
  <si>
    <t>ORD0095</t>
  </si>
  <si>
    <t>Jason Weber</t>
  </si>
  <si>
    <t>ORD0096</t>
  </si>
  <si>
    <t>John Pope</t>
  </si>
  <si>
    <t>08:55:00</t>
  </si>
  <si>
    <t>ORD0097</t>
  </si>
  <si>
    <t>Dean Herman</t>
  </si>
  <si>
    <t>ORD0098</t>
  </si>
  <si>
    <t>David Mendez</t>
  </si>
  <si>
    <t>ORD0099</t>
  </si>
  <si>
    <t>Joshua Carter</t>
  </si>
  <si>
    <t>09:18:00</t>
  </si>
  <si>
    <t>ORD0100</t>
  </si>
  <si>
    <t>Lauren Alvarez</t>
  </si>
  <si>
    <t>ORD0101</t>
  </si>
  <si>
    <t>Mr. Roy Walton</t>
  </si>
  <si>
    <t>ORD0102</t>
  </si>
  <si>
    <t>Kaylee Cordova</t>
  </si>
  <si>
    <t>11:47:00</t>
  </si>
  <si>
    <t>ORD0103</t>
  </si>
  <si>
    <t>Tyler Conner</t>
  </si>
  <si>
    <t>09:51:00</t>
  </si>
  <si>
    <t>ORD0104</t>
  </si>
  <si>
    <t>Douglas Johnson</t>
  </si>
  <si>
    <t>ORD0105</t>
  </si>
  <si>
    <t>Todd Brock</t>
  </si>
  <si>
    <t>09:08:00</t>
  </si>
  <si>
    <t>ORD0106</t>
  </si>
  <si>
    <t>Derek Bennett</t>
  </si>
  <si>
    <t>11:29:00</t>
  </si>
  <si>
    <t>ORD0107</t>
  </si>
  <si>
    <t>Rachel Maldonado</t>
  </si>
  <si>
    <t>ORD0108</t>
  </si>
  <si>
    <t>Shelly Jones</t>
  </si>
  <si>
    <t>10:59:00</t>
  </si>
  <si>
    <t>ORD0109</t>
  </si>
  <si>
    <t>Cindy Owens</t>
  </si>
  <si>
    <t>11:09:00</t>
  </si>
  <si>
    <t>ORD0110</t>
  </si>
  <si>
    <t>Barbara Burgess</t>
  </si>
  <si>
    <t>09:33:00</t>
  </si>
  <si>
    <t>ORD0111</t>
  </si>
  <si>
    <t>Kathleen Jones</t>
  </si>
  <si>
    <t>ORD0112</t>
  </si>
  <si>
    <t>Cole Li</t>
  </si>
  <si>
    <t>10:08:00</t>
  </si>
  <si>
    <t>ORD0113</t>
  </si>
  <si>
    <t>Erika Rodriguez</t>
  </si>
  <si>
    <t>09:25:00</t>
  </si>
  <si>
    <t>ORD0114</t>
  </si>
  <si>
    <t>Brooke Wright</t>
  </si>
  <si>
    <t>ORD0115</t>
  </si>
  <si>
    <t>James Lam</t>
  </si>
  <si>
    <t>09:11:00</t>
  </si>
  <si>
    <t>ORD0116</t>
  </si>
  <si>
    <t>Blake Hicks</t>
  </si>
  <si>
    <t>10:21:00</t>
  </si>
  <si>
    <t>ORD0117</t>
  </si>
  <si>
    <t>Elizabeth Garner</t>
  </si>
  <si>
    <t>ORD0118</t>
  </si>
  <si>
    <t>Nicole Rodriguez</t>
  </si>
  <si>
    <t>09:07:00</t>
  </si>
  <si>
    <t>ORD0119</t>
  </si>
  <si>
    <t>Jennifer Henderson</t>
  </si>
  <si>
    <t>08:41:00</t>
  </si>
  <si>
    <t>ORD0120</t>
  </si>
  <si>
    <t>Kevin Quinn</t>
  </si>
  <si>
    <t>ORD0121</t>
  </si>
  <si>
    <t>Robert Williams</t>
  </si>
  <si>
    <t>11:23:00</t>
  </si>
  <si>
    <t>ORD0122</t>
  </si>
  <si>
    <t>Lawrence Jackson</t>
  </si>
  <si>
    <t>11:53:00</t>
  </si>
  <si>
    <t>ORD0123</t>
  </si>
  <si>
    <t>Linda Campbell</t>
  </si>
  <si>
    <t>ORD0124</t>
  </si>
  <si>
    <t>Ashley Robinson</t>
  </si>
  <si>
    <t>10:50:00</t>
  </si>
  <si>
    <t>ORD0125</t>
  </si>
  <si>
    <t>Joyce Davis</t>
  </si>
  <si>
    <t>10:25:00</t>
  </si>
  <si>
    <t>ORD0126</t>
  </si>
  <si>
    <t>Richard Brown</t>
  </si>
  <si>
    <t>ORD0127</t>
  </si>
  <si>
    <t>Cheryl Hoover</t>
  </si>
  <si>
    <t>09:17:00</t>
  </si>
  <si>
    <t>ORD0128</t>
  </si>
  <si>
    <t>Sarah Jones</t>
  </si>
  <si>
    <t>ORD0129</t>
  </si>
  <si>
    <t>Thomas Boone</t>
  </si>
  <si>
    <t>ORD0130</t>
  </si>
  <si>
    <t>Daniel Ryan</t>
  </si>
  <si>
    <t>10:28:00</t>
  </si>
  <si>
    <t>ORD0131</t>
  </si>
  <si>
    <t>Willie Stewart</t>
  </si>
  <si>
    <t>08:51:00</t>
  </si>
  <si>
    <t>ORD0132</t>
  </si>
  <si>
    <t>Michelle Brown</t>
  </si>
  <si>
    <t>ORD0133</t>
  </si>
  <si>
    <t>Theresa Robinson MD</t>
  </si>
  <si>
    <t>09:29:00</t>
  </si>
  <si>
    <t>ORD0134</t>
  </si>
  <si>
    <t>Timothy Giles</t>
  </si>
  <si>
    <t>09:16:00</t>
  </si>
  <si>
    <t>ORD0135</t>
  </si>
  <si>
    <t>Donna Barron</t>
  </si>
  <si>
    <t>08:48:00</t>
  </si>
  <si>
    <t>ORD0136</t>
  </si>
  <si>
    <t>James Moss</t>
  </si>
  <si>
    <t>08:11:00</t>
  </si>
  <si>
    <t>ORD0137</t>
  </si>
  <si>
    <t>Christopher Smith</t>
  </si>
  <si>
    <t>10:33:00</t>
  </si>
  <si>
    <t>ORD0138</t>
  </si>
  <si>
    <t>Nathan Ford</t>
  </si>
  <si>
    <t>10:14:00</t>
  </si>
  <si>
    <t>ORD0139</t>
  </si>
  <si>
    <t>Jennifer Hill</t>
  </si>
  <si>
    <t>ORD0140</t>
  </si>
  <si>
    <t>Adrian Coleman</t>
  </si>
  <si>
    <t>ORD0141</t>
  </si>
  <si>
    <t>Aaron Wilson</t>
  </si>
  <si>
    <t>08:44:00</t>
  </si>
  <si>
    <t>ORD0142</t>
  </si>
  <si>
    <t>Matthew Stevens</t>
  </si>
  <si>
    <t>ORD0143</t>
  </si>
  <si>
    <t>Jamie Stewart</t>
  </si>
  <si>
    <t>11:07:00</t>
  </si>
  <si>
    <t>ORD0144</t>
  </si>
  <si>
    <t>Mrs. Kimberly Murphy DVM</t>
  </si>
  <si>
    <t>ORD0145</t>
  </si>
  <si>
    <t>Kathleen Davis</t>
  </si>
  <si>
    <t>10:09:00</t>
  </si>
  <si>
    <t>ORD0146</t>
  </si>
  <si>
    <t>ORD0147</t>
  </si>
  <si>
    <t>Courtney Hanson</t>
  </si>
  <si>
    <t>ORD0148</t>
  </si>
  <si>
    <t>John Smith</t>
  </si>
  <si>
    <t>11:54:00</t>
  </si>
  <si>
    <t>ORD0149</t>
  </si>
  <si>
    <t>Robert Smith</t>
  </si>
  <si>
    <t>11:37:00</t>
  </si>
  <si>
    <t>ORD0150</t>
  </si>
  <si>
    <t>Alicia Sheppard</t>
  </si>
  <si>
    <t>ORD0151</t>
  </si>
  <si>
    <t>Eric Graham MD</t>
  </si>
  <si>
    <t>08:21:00</t>
  </si>
  <si>
    <t>ORD0152</t>
  </si>
  <si>
    <t>Helen Ashley</t>
  </si>
  <si>
    <t>08:09:00</t>
  </si>
  <si>
    <t>ORD0153</t>
  </si>
  <si>
    <t>Michael Harding</t>
  </si>
  <si>
    <t>ORD0154</t>
  </si>
  <si>
    <t>Anthony Mcmahon</t>
  </si>
  <si>
    <t>ORD0155</t>
  </si>
  <si>
    <t>Janice Sullivan</t>
  </si>
  <si>
    <t>10:20:00</t>
  </si>
  <si>
    <t>ORD0156</t>
  </si>
  <si>
    <t>Eric Hall</t>
  </si>
  <si>
    <t>ORD0157</t>
  </si>
  <si>
    <t>Megan Watson</t>
  </si>
  <si>
    <t>09:53:00</t>
  </si>
  <si>
    <t>ORD0158</t>
  </si>
  <si>
    <t>Sherri Pena</t>
  </si>
  <si>
    <t>ORD0159</t>
  </si>
  <si>
    <t>Sandy Smith</t>
  </si>
  <si>
    <t>09:06:00</t>
  </si>
  <si>
    <t>ORD0160</t>
  </si>
  <si>
    <t>Scott Todd</t>
  </si>
  <si>
    <t>09:49:00</t>
  </si>
  <si>
    <t>ORD0161</t>
  </si>
  <si>
    <t>Angela Henderson</t>
  </si>
  <si>
    <t>09:35:00</t>
  </si>
  <si>
    <t>ORD0162</t>
  </si>
  <si>
    <t>Blake Ayala</t>
  </si>
  <si>
    <t>ORD0163</t>
  </si>
  <si>
    <t>Troy Todd</t>
  </si>
  <si>
    <t>ORD0164</t>
  </si>
  <si>
    <t>Joseph Clark</t>
  </si>
  <si>
    <t>11:30:00</t>
  </si>
  <si>
    <t>ORD0165</t>
  </si>
  <si>
    <t>Miranda Hill</t>
  </si>
  <si>
    <t>11:57:00</t>
  </si>
  <si>
    <t>ORD0166</t>
  </si>
  <si>
    <t>Donald Harris</t>
  </si>
  <si>
    <t>10:47:00</t>
  </si>
  <si>
    <t>ORD0167</t>
  </si>
  <si>
    <t>Joanna Woodward</t>
  </si>
  <si>
    <t>ORD0168</t>
  </si>
  <si>
    <t>Oscar Blake</t>
  </si>
  <si>
    <t>ORD0169</t>
  </si>
  <si>
    <t>Carl Torres</t>
  </si>
  <si>
    <t>09:44:00</t>
  </si>
  <si>
    <t>ORD0170</t>
  </si>
  <si>
    <t>Danielle Rush</t>
  </si>
  <si>
    <t>10:31:00</t>
  </si>
  <si>
    <t>ORD0171</t>
  </si>
  <si>
    <t>Jennifer Greene</t>
  </si>
  <si>
    <t>08:52:00</t>
  </si>
  <si>
    <t>ORD0172</t>
  </si>
  <si>
    <t>John Campbell</t>
  </si>
  <si>
    <t>08:08:00</t>
  </si>
  <si>
    <t>ORD0173</t>
  </si>
  <si>
    <t>Mr. Michael Wood</t>
  </si>
  <si>
    <t>ORD0174</t>
  </si>
  <si>
    <t>William Ellis</t>
  </si>
  <si>
    <t>ORD0175</t>
  </si>
  <si>
    <t>Kelly Smith</t>
  </si>
  <si>
    <t>09:46:00</t>
  </si>
  <si>
    <t>ORD0176</t>
  </si>
  <si>
    <t>Jaime Bell</t>
  </si>
  <si>
    <t>08:05:00</t>
  </si>
  <si>
    <t>ORD0177</t>
  </si>
  <si>
    <t>Victoria Williams</t>
  </si>
  <si>
    <t>ORD0178</t>
  </si>
  <si>
    <t>Bradley Hale</t>
  </si>
  <si>
    <t>10:40:00</t>
  </si>
  <si>
    <t>ORD0179</t>
  </si>
  <si>
    <t>Mr. Anthony Cunningham</t>
  </si>
  <si>
    <t>09:27:00</t>
  </si>
  <si>
    <t>ORD0180</t>
  </si>
  <si>
    <t>Mark Ingram</t>
  </si>
  <si>
    <t>ORD0181</t>
  </si>
  <si>
    <t>Jose Green</t>
  </si>
  <si>
    <t>11:31:00</t>
  </si>
  <si>
    <t>ORD0182</t>
  </si>
  <si>
    <t>Craig Garcia</t>
  </si>
  <si>
    <t>08:36:00</t>
  </si>
  <si>
    <t>ORD0183</t>
  </si>
  <si>
    <t>Tamara Love</t>
  </si>
  <si>
    <t>ORD0184</t>
  </si>
  <si>
    <t>Julie Dodson</t>
  </si>
  <si>
    <t>ORD0185</t>
  </si>
  <si>
    <t>Annette Ponce</t>
  </si>
  <si>
    <t>10:34:00</t>
  </si>
  <si>
    <t>ORD0186</t>
  </si>
  <si>
    <t>Shirley May</t>
  </si>
  <si>
    <t>09:09:00</t>
  </si>
  <si>
    <t>ORD0187</t>
  </si>
  <si>
    <t>Samuel Baker</t>
  </si>
  <si>
    <t>09:01:00</t>
  </si>
  <si>
    <t>ORD0188</t>
  </si>
  <si>
    <t>Andrea Lee</t>
  </si>
  <si>
    <t>09:45:00</t>
  </si>
  <si>
    <t>ORD0189</t>
  </si>
  <si>
    <t>Russell Ramirez</t>
  </si>
  <si>
    <t>11:32:00</t>
  </si>
  <si>
    <t>ORD0190</t>
  </si>
  <si>
    <t>Gary Weber</t>
  </si>
  <si>
    <t>ORD0191</t>
  </si>
  <si>
    <t>Patricia Baxter</t>
  </si>
  <si>
    <t>ORD0192</t>
  </si>
  <si>
    <t>Tyler Martinez</t>
  </si>
  <si>
    <t>11:06:00</t>
  </si>
  <si>
    <t>ORD0193</t>
  </si>
  <si>
    <t>Brian Bauer</t>
  </si>
  <si>
    <t>09:00:00</t>
  </si>
  <si>
    <t>ORD0194</t>
  </si>
  <si>
    <t>Ian Hines</t>
  </si>
  <si>
    <t>ORD0195</t>
  </si>
  <si>
    <t>Leah Wallace</t>
  </si>
  <si>
    <t>ORD0196</t>
  </si>
  <si>
    <t>Kaitlin Rose</t>
  </si>
  <si>
    <t>11:08:00</t>
  </si>
  <si>
    <t>ORD0197</t>
  </si>
  <si>
    <t>Karen Wells</t>
  </si>
  <si>
    <t>11:52:00</t>
  </si>
  <si>
    <t>ORD0198</t>
  </si>
  <si>
    <t>Adam Romero</t>
  </si>
  <si>
    <t>ORD0199</t>
  </si>
  <si>
    <t>Brooke Dyer</t>
  </si>
  <si>
    <t>10:11:00</t>
  </si>
  <si>
    <t>ORD0200</t>
  </si>
  <si>
    <t>Jessica Wells</t>
  </si>
  <si>
    <t>08:19:00</t>
  </si>
  <si>
    <t>ORD0201</t>
  </si>
  <si>
    <t>Tyler Williams</t>
  </si>
  <si>
    <t>11:11:00</t>
  </si>
  <si>
    <t>ORD0202</t>
  </si>
  <si>
    <t>Franklin Stevens</t>
  </si>
  <si>
    <t>11:01:00</t>
  </si>
  <si>
    <t>ORD0203</t>
  </si>
  <si>
    <t>Mr. Joe Ramirez</t>
  </si>
  <si>
    <t>09:02:00</t>
  </si>
  <si>
    <t>ORD0204</t>
  </si>
  <si>
    <t>Christopher Ford</t>
  </si>
  <si>
    <t>ORD0205</t>
  </si>
  <si>
    <t>Sharon Smith</t>
  </si>
  <si>
    <t>ORD0206</t>
  </si>
  <si>
    <t>Michelle Estrada</t>
  </si>
  <si>
    <t>11:16:00</t>
  </si>
  <si>
    <t>ORD0207</t>
  </si>
  <si>
    <t>Danielle Mcdonald</t>
  </si>
  <si>
    <t>11:27:00</t>
  </si>
  <si>
    <t>ORD0208</t>
  </si>
  <si>
    <t>Steven Mccarthy</t>
  </si>
  <si>
    <t>08:29:00</t>
  </si>
  <si>
    <t>ORD0209</t>
  </si>
  <si>
    <t>Joshua Diaz</t>
  </si>
  <si>
    <t>ORD0210</t>
  </si>
  <si>
    <t>Karen Clark</t>
  </si>
  <si>
    <t>10:27:00</t>
  </si>
  <si>
    <t>ORD0211</t>
  </si>
  <si>
    <t>Sherry Mann</t>
  </si>
  <si>
    <t>ORD0212</t>
  </si>
  <si>
    <t>Terri Baker</t>
  </si>
  <si>
    <t>08:10:00</t>
  </si>
  <si>
    <t>ORD0213</t>
  </si>
  <si>
    <t>Ruben King</t>
  </si>
  <si>
    <t>ORD0214</t>
  </si>
  <si>
    <t>Ruth Bell</t>
  </si>
  <si>
    <t>ORD0215</t>
  </si>
  <si>
    <t>Javier Jones</t>
  </si>
  <si>
    <t>11:03:00</t>
  </si>
  <si>
    <t>ORD0216</t>
  </si>
  <si>
    <t>Joseph Brown</t>
  </si>
  <si>
    <t>ORD0217</t>
  </si>
  <si>
    <t>Victor Phillips</t>
  </si>
  <si>
    <t>08:50:00</t>
  </si>
  <si>
    <t>ORD0218</t>
  </si>
  <si>
    <t>Gabrielle Huynh</t>
  </si>
  <si>
    <t>11:58:00</t>
  </si>
  <si>
    <t>ORD0219</t>
  </si>
  <si>
    <t>Alison Mitchell</t>
  </si>
  <si>
    <t>08:00:00</t>
  </si>
  <si>
    <t>ORD0220</t>
  </si>
  <si>
    <t>Andrea Reynolds</t>
  </si>
  <si>
    <t>ORD0221</t>
  </si>
  <si>
    <t>Julie Schmidt</t>
  </si>
  <si>
    <t>ORD0222</t>
  </si>
  <si>
    <t>Erin May</t>
  </si>
  <si>
    <t>09:03:00</t>
  </si>
  <si>
    <t>ORD0223</t>
  </si>
  <si>
    <t>Eric Gibson</t>
  </si>
  <si>
    <t>08:07:00</t>
  </si>
  <si>
    <t>ORD0224</t>
  </si>
  <si>
    <t>John Lewis</t>
  </si>
  <si>
    <t>09:31:00</t>
  </si>
  <si>
    <t>ORD0225</t>
  </si>
  <si>
    <t>Lisa Lucas</t>
  </si>
  <si>
    <t>ORD0226</t>
  </si>
  <si>
    <t>Melissa Adams</t>
  </si>
  <si>
    <t>ORD0227</t>
  </si>
  <si>
    <t>David Calhoun</t>
  </si>
  <si>
    <t>10:45:00</t>
  </si>
  <si>
    <t>ORD0228</t>
  </si>
  <si>
    <t>Ashlee Richardson</t>
  </si>
  <si>
    <t>ORD0229</t>
  </si>
  <si>
    <t>Heather Cox</t>
  </si>
  <si>
    <t>10:54:00</t>
  </si>
  <si>
    <t>ORD0230</t>
  </si>
  <si>
    <t>Christy Thompson</t>
  </si>
  <si>
    <t>ORD0231</t>
  </si>
  <si>
    <t>Antonio Clark</t>
  </si>
  <si>
    <t>ORD0232</t>
  </si>
  <si>
    <t>Christopher Sandoval</t>
  </si>
  <si>
    <t>ORD0233</t>
  </si>
  <si>
    <t>Heather Charles</t>
  </si>
  <si>
    <t>11:51:00</t>
  </si>
  <si>
    <t>ORD0234</t>
  </si>
  <si>
    <t>Dustin Cole</t>
  </si>
  <si>
    <t>ORD0235</t>
  </si>
  <si>
    <t>Jeff Ross</t>
  </si>
  <si>
    <t>ORD0236</t>
  </si>
  <si>
    <t>Justin Montgomery</t>
  </si>
  <si>
    <t>ORD0237</t>
  </si>
  <si>
    <t>David Webster</t>
  </si>
  <si>
    <t>ORD0238</t>
  </si>
  <si>
    <t>Nathan Smith</t>
  </si>
  <si>
    <t>11:04:00</t>
  </si>
  <si>
    <t>ORD0239</t>
  </si>
  <si>
    <t>Shannon Fitzpatrick</t>
  </si>
  <si>
    <t>ORD0240</t>
  </si>
  <si>
    <t>Monique Pope</t>
  </si>
  <si>
    <t>ORD0241</t>
  </si>
  <si>
    <t>Teresa Edwards</t>
  </si>
  <si>
    <t>ORD0242</t>
  </si>
  <si>
    <t>Molly Boyd</t>
  </si>
  <si>
    <t>11:18:00</t>
  </si>
  <si>
    <t>ORD0243</t>
  </si>
  <si>
    <t>William Collier</t>
  </si>
  <si>
    <t>ORD0244</t>
  </si>
  <si>
    <t>Casey Jackson</t>
  </si>
  <si>
    <t>ORD0245</t>
  </si>
  <si>
    <t>Sabrina Stevens</t>
  </si>
  <si>
    <t>ORD0246</t>
  </si>
  <si>
    <t>Andrew Mercado</t>
  </si>
  <si>
    <t>ORD0247</t>
  </si>
  <si>
    <t>Thomas Young</t>
  </si>
  <si>
    <t>ORD0248</t>
  </si>
  <si>
    <t>Crystal Castro</t>
  </si>
  <si>
    <t>ORD0249</t>
  </si>
  <si>
    <t>Robert Hammond MD</t>
  </si>
  <si>
    <t>ORD0250</t>
  </si>
  <si>
    <t>Amber Brooks</t>
  </si>
  <si>
    <t>10:06:00</t>
  </si>
  <si>
    <t>ORD0251</t>
  </si>
  <si>
    <t>Angela Klein</t>
  </si>
  <si>
    <t>08:14:00</t>
  </si>
  <si>
    <t>ORD0252</t>
  </si>
  <si>
    <t>Tina Foster</t>
  </si>
  <si>
    <t>11:56:00</t>
  </si>
  <si>
    <t>ORD0253</t>
  </si>
  <si>
    <t>Terry Fields</t>
  </si>
  <si>
    <t>ORD0254</t>
  </si>
  <si>
    <t>Tony Marshall</t>
  </si>
  <si>
    <t>ORD0255</t>
  </si>
  <si>
    <t>Sheila Moore</t>
  </si>
  <si>
    <t>ORD0256</t>
  </si>
  <si>
    <t>Kristopher Davis</t>
  </si>
  <si>
    <t>ORD0257</t>
  </si>
  <si>
    <t>Brandon Thompson</t>
  </si>
  <si>
    <t>ORD0258</t>
  </si>
  <si>
    <t>Angela Smith</t>
  </si>
  <si>
    <t>ORD0259</t>
  </si>
  <si>
    <t>Justin Frye</t>
  </si>
  <si>
    <t>ORD0260</t>
  </si>
  <si>
    <t>Carol Jackson</t>
  </si>
  <si>
    <t>10:29:00</t>
  </si>
  <si>
    <t>ORD0261</t>
  </si>
  <si>
    <t>Kathryn Hill</t>
  </si>
  <si>
    <t>ORD0262</t>
  </si>
  <si>
    <t>Joyce Hill</t>
  </si>
  <si>
    <t>ORD0263</t>
  </si>
  <si>
    <t>Alan Allen</t>
  </si>
  <si>
    <t>ORD0264</t>
  </si>
  <si>
    <t>Emily Anderson</t>
  </si>
  <si>
    <t>09:34:00</t>
  </si>
  <si>
    <t>ORD0265</t>
  </si>
  <si>
    <t>Mr. Wesley Pratt PhD</t>
  </si>
  <si>
    <t>ORD0266</t>
  </si>
  <si>
    <t>John Yates</t>
  </si>
  <si>
    <t>09:19:00</t>
  </si>
  <si>
    <t>ORD0267</t>
  </si>
  <si>
    <t>Rhonda Mitchell MD</t>
  </si>
  <si>
    <t>08:03:00</t>
  </si>
  <si>
    <t>ORD0268</t>
  </si>
  <si>
    <t>Sarah Hobbs</t>
  </si>
  <si>
    <t>ORD0269</t>
  </si>
  <si>
    <t>Ryan Olson</t>
  </si>
  <si>
    <t>10:15:00</t>
  </si>
  <si>
    <t>ORD0270</t>
  </si>
  <si>
    <t>Joseph Estrada</t>
  </si>
  <si>
    <t>11:02:00</t>
  </si>
  <si>
    <t>ORD0271</t>
  </si>
  <si>
    <t>Jean Farmer</t>
  </si>
  <si>
    <t>ORD0272</t>
  </si>
  <si>
    <t>Justin Guzman</t>
  </si>
  <si>
    <t>ORD0273</t>
  </si>
  <si>
    <t>Anna Wheeler</t>
  </si>
  <si>
    <t>09:43:00</t>
  </si>
  <si>
    <t>ORD0274</t>
  </si>
  <si>
    <t>Ronald Gomez</t>
  </si>
  <si>
    <t>09:12:00</t>
  </si>
  <si>
    <t>ORD0275</t>
  </si>
  <si>
    <t>Andrew Martinez</t>
  </si>
  <si>
    <t>ORD0276</t>
  </si>
  <si>
    <t>Robert Wilson</t>
  </si>
  <si>
    <t>ORD0277</t>
  </si>
  <si>
    <t>Martin Stanley</t>
  </si>
  <si>
    <t>ORD0278</t>
  </si>
  <si>
    <t>Joseph Flores</t>
  </si>
  <si>
    <t>ORD0279</t>
  </si>
  <si>
    <t>Jaclyn Horn</t>
  </si>
  <si>
    <t>ORD0280</t>
  </si>
  <si>
    <t>Jason Holt</t>
  </si>
  <si>
    <t>09:50:00</t>
  </si>
  <si>
    <t>ORD0281</t>
  </si>
  <si>
    <t>Emily Brewer</t>
  </si>
  <si>
    <t>ORD0282</t>
  </si>
  <si>
    <t>Jeff Mcfarland</t>
  </si>
  <si>
    <t>08:24:00</t>
  </si>
  <si>
    <t>ORD0283</t>
  </si>
  <si>
    <t>Brian Thompson</t>
  </si>
  <si>
    <t>09:52:00</t>
  </si>
  <si>
    <t>ORD0284</t>
  </si>
  <si>
    <t>Jonathan Bailey</t>
  </si>
  <si>
    <t>ORD0285</t>
  </si>
  <si>
    <t>William Meyer</t>
  </si>
  <si>
    <t>ORD0286</t>
  </si>
  <si>
    <t>Laura Baker</t>
  </si>
  <si>
    <t>ORD0287</t>
  </si>
  <si>
    <t>Judy Thomas</t>
  </si>
  <si>
    <t>ORD0288</t>
  </si>
  <si>
    <t>Tracy Wells</t>
  </si>
  <si>
    <t>10:19:00</t>
  </si>
  <si>
    <t>ORD0289</t>
  </si>
  <si>
    <t>Megan Howe</t>
  </si>
  <si>
    <t>10:38:00</t>
  </si>
  <si>
    <t>ORD0290</t>
  </si>
  <si>
    <t>Douglas Obrien</t>
  </si>
  <si>
    <t>ORD0291</t>
  </si>
  <si>
    <t>Ryan James</t>
  </si>
  <si>
    <t>ORD0292</t>
  </si>
  <si>
    <t>Stephen Cowan</t>
  </si>
  <si>
    <t>09:36:00</t>
  </si>
  <si>
    <t>ORD0293</t>
  </si>
  <si>
    <t>Judy Johnson</t>
  </si>
  <si>
    <t>ORD0294</t>
  </si>
  <si>
    <t>George Drake</t>
  </si>
  <si>
    <t>ORD0295</t>
  </si>
  <si>
    <t>Connie Robles</t>
  </si>
  <si>
    <t>ORD0296</t>
  </si>
  <si>
    <t>Tamara Daniels</t>
  </si>
  <si>
    <t>09:39:00</t>
  </si>
  <si>
    <t>ORD0297</t>
  </si>
  <si>
    <t>Samantha Casey</t>
  </si>
  <si>
    <t>ORD0298</t>
  </si>
  <si>
    <t>Kimberly Nicholson</t>
  </si>
  <si>
    <t>11:12:00</t>
  </si>
  <si>
    <t>ORD0299</t>
  </si>
  <si>
    <t>Holly Hammond</t>
  </si>
  <si>
    <t>ORD0300</t>
  </si>
  <si>
    <t>Ricky King</t>
  </si>
  <si>
    <t>08:33:00</t>
  </si>
  <si>
    <t>ORD0301</t>
  </si>
  <si>
    <t>Anthony Randall</t>
  </si>
  <si>
    <t>ORD0302</t>
  </si>
  <si>
    <t>Shawn Bennett</t>
  </si>
  <si>
    <t>ORD0303</t>
  </si>
  <si>
    <t>Adam Walton</t>
  </si>
  <si>
    <t>ORD0304</t>
  </si>
  <si>
    <t>Joseph Washington</t>
  </si>
  <si>
    <t>ORD0305</t>
  </si>
  <si>
    <t>Audrey Townsend</t>
  </si>
  <si>
    <t>08:06:00</t>
  </si>
  <si>
    <t>ORD0306</t>
  </si>
  <si>
    <t>Robin Dorsey</t>
  </si>
  <si>
    <t>ORD0307</t>
  </si>
  <si>
    <t>Susan Francis</t>
  </si>
  <si>
    <t>ORD0308</t>
  </si>
  <si>
    <t>Joseph Mckinney</t>
  </si>
  <si>
    <t>ORD0309</t>
  </si>
  <si>
    <t>Christine Moore</t>
  </si>
  <si>
    <t>ORD0310</t>
  </si>
  <si>
    <t>Crystal Terrell</t>
  </si>
  <si>
    <t>ORD0311</t>
  </si>
  <si>
    <t>Jared Martinez</t>
  </si>
  <si>
    <t>ORD0312</t>
  </si>
  <si>
    <t>Carol Warren</t>
  </si>
  <si>
    <t>ORD0313</t>
  </si>
  <si>
    <t>Chad Perez</t>
  </si>
  <si>
    <t>ORD0314</t>
  </si>
  <si>
    <t>Audrey Barnes</t>
  </si>
  <si>
    <t>09:42:00</t>
  </si>
  <si>
    <t>ORD0315</t>
  </si>
  <si>
    <t>Eric Hall DDS</t>
  </si>
  <si>
    <t>ORD0316</t>
  </si>
  <si>
    <t>Sheena Zhang</t>
  </si>
  <si>
    <t>ORD0317</t>
  </si>
  <si>
    <t>Vanessa Gay</t>
  </si>
  <si>
    <t>ORD0318</t>
  </si>
  <si>
    <t>Joann Mendoza</t>
  </si>
  <si>
    <t>ORD0319</t>
  </si>
  <si>
    <t>Sheila Fisher</t>
  </si>
  <si>
    <t>ORD0320</t>
  </si>
  <si>
    <t>Jason Medina</t>
  </si>
  <si>
    <t>ORD0321</t>
  </si>
  <si>
    <t>Tammy Williams</t>
  </si>
  <si>
    <t>ORD0322</t>
  </si>
  <si>
    <t>Alejandra Flores</t>
  </si>
  <si>
    <t>ORD0323</t>
  </si>
  <si>
    <t>Sandy Gross</t>
  </si>
  <si>
    <t>ORD0324</t>
  </si>
  <si>
    <t>Johnny Schultz</t>
  </si>
  <si>
    <t>ORD0325</t>
  </si>
  <si>
    <t>Stacey Richards</t>
  </si>
  <si>
    <t>08:25:00</t>
  </si>
  <si>
    <t>ORD0326</t>
  </si>
  <si>
    <t>Sierra Robinson</t>
  </si>
  <si>
    <t>ORD0327</t>
  </si>
  <si>
    <t>Mrs. Samantha White</t>
  </si>
  <si>
    <t>ORD0328</t>
  </si>
  <si>
    <t>Kaylee Ortiz</t>
  </si>
  <si>
    <t>11:35:00</t>
  </si>
  <si>
    <t>ORD0329</t>
  </si>
  <si>
    <t>Cory Chaney</t>
  </si>
  <si>
    <t>08:17:00</t>
  </si>
  <si>
    <t>ORD0330</t>
  </si>
  <si>
    <t>Elizabeth Romero</t>
  </si>
  <si>
    <t>10:37:00</t>
  </si>
  <si>
    <t>ORD0331</t>
  </si>
  <si>
    <t>Kathryn Nicholson</t>
  </si>
  <si>
    <t>ORD0332</t>
  </si>
  <si>
    <t>Daniel Roberts</t>
  </si>
  <si>
    <t>10:44:00</t>
  </si>
  <si>
    <t>ORD0333</t>
  </si>
  <si>
    <t>Kevin Long</t>
  </si>
  <si>
    <t>ORD0334</t>
  </si>
  <si>
    <t>Jessica Watkins</t>
  </si>
  <si>
    <t>09:58:00</t>
  </si>
  <si>
    <t>ORD0335</t>
  </si>
  <si>
    <t>Amanda Rodgers</t>
  </si>
  <si>
    <t>10:32:00</t>
  </si>
  <si>
    <t>ORD0336</t>
  </si>
  <si>
    <t>Michael Carter</t>
  </si>
  <si>
    <t>ORD0337</t>
  </si>
  <si>
    <t>Emily Thomas</t>
  </si>
  <si>
    <t>ORD0338</t>
  </si>
  <si>
    <t>Tami Walker</t>
  </si>
  <si>
    <t>ORD0339</t>
  </si>
  <si>
    <t>Margaret Johnson</t>
  </si>
  <si>
    <t>ORD0340</t>
  </si>
  <si>
    <t>Andrew Roberts</t>
  </si>
  <si>
    <t>08:04:00</t>
  </si>
  <si>
    <t>ORD0341</t>
  </si>
  <si>
    <t>Sandra Williamson</t>
  </si>
  <si>
    <t>ORD0342</t>
  </si>
  <si>
    <t>Angela Cooper</t>
  </si>
  <si>
    <t>11:41:00</t>
  </si>
  <si>
    <t>ORD0343</t>
  </si>
  <si>
    <t>Brian Roy</t>
  </si>
  <si>
    <t>ORD0344</t>
  </si>
  <si>
    <t>Mr. Jose Holland MD</t>
  </si>
  <si>
    <t>ORD0345</t>
  </si>
  <si>
    <t>Keith Johnson</t>
  </si>
  <si>
    <t>ORD0346</t>
  </si>
  <si>
    <t>Kristin Blair</t>
  </si>
  <si>
    <t>ORD0347</t>
  </si>
  <si>
    <t>Heather Thompson</t>
  </si>
  <si>
    <t>ORD0348</t>
  </si>
  <si>
    <t>Robert Branch</t>
  </si>
  <si>
    <t>11:24:00</t>
  </si>
  <si>
    <t>ORD0349</t>
  </si>
  <si>
    <t>Crystal Mitchell</t>
  </si>
  <si>
    <t>ORD0350</t>
  </si>
  <si>
    <t>Sandra Hernandez MD</t>
  </si>
  <si>
    <t>ORD0351</t>
  </si>
  <si>
    <t>John Clark</t>
  </si>
  <si>
    <t>ORD0352</t>
  </si>
  <si>
    <t>Kelsey Baxter</t>
  </si>
  <si>
    <t>ORD0353</t>
  </si>
  <si>
    <t>Shane Jones</t>
  </si>
  <si>
    <t>ORD0354</t>
  </si>
  <si>
    <t>Diane Vega</t>
  </si>
  <si>
    <t>ORD0355</t>
  </si>
  <si>
    <t>Joshua Wall</t>
  </si>
  <si>
    <t>ORD0356</t>
  </si>
  <si>
    <t>William Evans</t>
  </si>
  <si>
    <t>ORD0357</t>
  </si>
  <si>
    <t>Amanda Carroll</t>
  </si>
  <si>
    <t>09:22:00</t>
  </si>
  <si>
    <t>ORD0358</t>
  </si>
  <si>
    <t>Angela Douglas</t>
  </si>
  <si>
    <t>ORD0359</t>
  </si>
  <si>
    <t>Andrew Daniels</t>
  </si>
  <si>
    <t>ORD0360</t>
  </si>
  <si>
    <t>Jodi Clark</t>
  </si>
  <si>
    <t>ORD0361</t>
  </si>
  <si>
    <t>Kristin Moore</t>
  </si>
  <si>
    <t>ORD0362</t>
  </si>
  <si>
    <t>John Baker</t>
  </si>
  <si>
    <t>ORD0363</t>
  </si>
  <si>
    <t>Shelley Wilson</t>
  </si>
  <si>
    <t>ORD0364</t>
  </si>
  <si>
    <t>Zachary Lloyd</t>
  </si>
  <si>
    <t>ORD0365</t>
  </si>
  <si>
    <t>Elizabeth Reyes</t>
  </si>
  <si>
    <t>10:41:00</t>
  </si>
  <si>
    <t>ORD0366</t>
  </si>
  <si>
    <t>Megan Gutierrez</t>
  </si>
  <si>
    <t>ORD0367</t>
  </si>
  <si>
    <t>Charlene White</t>
  </si>
  <si>
    <t>ORD0368</t>
  </si>
  <si>
    <t>Terri Ochoa</t>
  </si>
  <si>
    <t>ORD0369</t>
  </si>
  <si>
    <t>Patricia Davis</t>
  </si>
  <si>
    <t>ORD0370</t>
  </si>
  <si>
    <t>Justin Ramirez</t>
  </si>
  <si>
    <t>ORD0371</t>
  </si>
  <si>
    <t>Robert Moses</t>
  </si>
  <si>
    <t>ORD0372</t>
  </si>
  <si>
    <t>Jenny Jones</t>
  </si>
  <si>
    <t>ORD0373</t>
  </si>
  <si>
    <t>Sarah Wang</t>
  </si>
  <si>
    <t>ORD0374</t>
  </si>
  <si>
    <t>Michelle Flowers</t>
  </si>
  <si>
    <t>ORD0375</t>
  </si>
  <si>
    <t>Anthony Klein</t>
  </si>
  <si>
    <t>08:12:00</t>
  </si>
  <si>
    <t>ORD0376</t>
  </si>
  <si>
    <t>James Johnson</t>
  </si>
  <si>
    <t>ORD0377</t>
  </si>
  <si>
    <t>Rebecca Hill</t>
  </si>
  <si>
    <t>11:46:00</t>
  </si>
  <si>
    <t>ORD0378</t>
  </si>
  <si>
    <t>Lori Yang</t>
  </si>
  <si>
    <t>ORD0379</t>
  </si>
  <si>
    <t>Michael Stewart</t>
  </si>
  <si>
    <t>ORD0380</t>
  </si>
  <si>
    <t>Kimberly Rocha</t>
  </si>
  <si>
    <t>ORD0381</t>
  </si>
  <si>
    <t>Joseph Lopez</t>
  </si>
  <si>
    <t>ORD0382</t>
  </si>
  <si>
    <t>Daniel Freeman</t>
  </si>
  <si>
    <t>ORD0383</t>
  </si>
  <si>
    <t>Sarah Jefferson</t>
  </si>
  <si>
    <t>ORD0384</t>
  </si>
  <si>
    <t>Mr. Eric Brown</t>
  </si>
  <si>
    <t>ORD0385</t>
  </si>
  <si>
    <t>Tara Medina</t>
  </si>
  <si>
    <t>ORD0386</t>
  </si>
  <si>
    <t>Anthony Miller</t>
  </si>
  <si>
    <t>08:37:00</t>
  </si>
  <si>
    <t>ORD0387</t>
  </si>
  <si>
    <t>Corey Campbell</t>
  </si>
  <si>
    <t>ORD0388</t>
  </si>
  <si>
    <t>Mrs. Tricia Davies</t>
  </si>
  <si>
    <t>ORD0389</t>
  </si>
  <si>
    <t>Mary Lewis</t>
  </si>
  <si>
    <t>ORD0390</t>
  </si>
  <si>
    <t>Rachel Welch</t>
  </si>
  <si>
    <t>10:03:00</t>
  </si>
  <si>
    <t>ORD0391</t>
  </si>
  <si>
    <t>Timothy Hogan</t>
  </si>
  <si>
    <t>ORD0392</t>
  </si>
  <si>
    <t>Todd Long</t>
  </si>
  <si>
    <t>ORD0393</t>
  </si>
  <si>
    <t>Jeremy Adams</t>
  </si>
  <si>
    <t>ORD0394</t>
  </si>
  <si>
    <t>Christopher Cooper</t>
  </si>
  <si>
    <t>08:30:00</t>
  </si>
  <si>
    <t>ORD0395</t>
  </si>
  <si>
    <t>Benjamin Jackson</t>
  </si>
  <si>
    <t>ORD0396</t>
  </si>
  <si>
    <t>Neil Martinez</t>
  </si>
  <si>
    <t>ORD0397</t>
  </si>
  <si>
    <t>Craig Daniels</t>
  </si>
  <si>
    <t>ORD0398</t>
  </si>
  <si>
    <t>Jean Palmer</t>
  </si>
  <si>
    <t>ORD0399</t>
  </si>
  <si>
    <t>John Serrano</t>
  </si>
  <si>
    <t>ORD0400</t>
  </si>
  <si>
    <t>Hannah Watson</t>
  </si>
  <si>
    <t>10:23:00</t>
  </si>
  <si>
    <t>ORD0401</t>
  </si>
  <si>
    <t>Laura Kerr</t>
  </si>
  <si>
    <t>ORD0402</t>
  </si>
  <si>
    <t>Ryan Perez</t>
  </si>
  <si>
    <t>ORD0403</t>
  </si>
  <si>
    <t>Karen Leon</t>
  </si>
  <si>
    <t>ORD0404</t>
  </si>
  <si>
    <t>Darlene Garcia MD</t>
  </si>
  <si>
    <t>08:42:00</t>
  </si>
  <si>
    <t>ORD0405</t>
  </si>
  <si>
    <t>Robin Novak</t>
  </si>
  <si>
    <t>11:59:00</t>
  </si>
  <si>
    <t>ORD0406</t>
  </si>
  <si>
    <t>Justin Taylor</t>
  </si>
  <si>
    <t>ORD0407</t>
  </si>
  <si>
    <t>Ryan Kelley</t>
  </si>
  <si>
    <t>ORD0408</t>
  </si>
  <si>
    <t>Matthew Long</t>
  </si>
  <si>
    <t>08:45:00</t>
  </si>
  <si>
    <t>ORD0409</t>
  </si>
  <si>
    <t>Sheila Perez</t>
  </si>
  <si>
    <t>ORD0410</t>
  </si>
  <si>
    <t>Matthew Bennett</t>
  </si>
  <si>
    <t>ORD0411</t>
  </si>
  <si>
    <t>Kristin Robinson</t>
  </si>
  <si>
    <t>ORD0412</t>
  </si>
  <si>
    <t>Autumn Harrison</t>
  </si>
  <si>
    <t>ORD0413</t>
  </si>
  <si>
    <t>Stephanie Miller</t>
  </si>
  <si>
    <t>ORD0414</t>
  </si>
  <si>
    <t>Shaun Smith</t>
  </si>
  <si>
    <t>ORD0415</t>
  </si>
  <si>
    <t>Christine Luna</t>
  </si>
  <si>
    <t>ORD0416</t>
  </si>
  <si>
    <t>Wendy Lee</t>
  </si>
  <si>
    <t>ORD0417</t>
  </si>
  <si>
    <t>Megan Vasquez</t>
  </si>
  <si>
    <t>10:53:00</t>
  </si>
  <si>
    <t>ORD0418</t>
  </si>
  <si>
    <t>Anthony Gordon</t>
  </si>
  <si>
    <t>ORD0419</t>
  </si>
  <si>
    <t>Mrs. Emma Bradford</t>
  </si>
  <si>
    <t>ORD0420</t>
  </si>
  <si>
    <t>Kenneth Schmidt</t>
  </si>
  <si>
    <t>08:23:00</t>
  </si>
  <si>
    <t>ORD0421</t>
  </si>
  <si>
    <t>Sara Johnson</t>
  </si>
  <si>
    <t>10:51:00</t>
  </si>
  <si>
    <t>ORD0422</t>
  </si>
  <si>
    <t>Jessica Terry</t>
  </si>
  <si>
    <t>ORD0423</t>
  </si>
  <si>
    <t>Jennifer Maldonado</t>
  </si>
  <si>
    <t>ORD0424</t>
  </si>
  <si>
    <t>Julie Sutton DVM</t>
  </si>
  <si>
    <t>08:46:00</t>
  </si>
  <si>
    <t>ORD0425</t>
  </si>
  <si>
    <t>Karen Grimes</t>
  </si>
  <si>
    <t>ORD0426</t>
  </si>
  <si>
    <t>Janet George</t>
  </si>
  <si>
    <t>ORD0427</t>
  </si>
  <si>
    <t>Eric Nelson</t>
  </si>
  <si>
    <t>ORD0428</t>
  </si>
  <si>
    <t>Jennifer Gonzales</t>
  </si>
  <si>
    <t>ORD0429</t>
  </si>
  <si>
    <t>Linda Jones</t>
  </si>
  <si>
    <t>08:35:00</t>
  </si>
  <si>
    <t>ORD0430</t>
  </si>
  <si>
    <t>Joseph Michael</t>
  </si>
  <si>
    <t>08:40:00</t>
  </si>
  <si>
    <t>ORD0431</t>
  </si>
  <si>
    <t>Geoffrey Murphy</t>
  </si>
  <si>
    <t>ORD0432</t>
  </si>
  <si>
    <t>Beverly Hill</t>
  </si>
  <si>
    <t>ORD0433</t>
  </si>
  <si>
    <t>Jennifer Vargas</t>
  </si>
  <si>
    <t>ORD0434</t>
  </si>
  <si>
    <t>Steven Anderson</t>
  </si>
  <si>
    <t>ORD0435</t>
  </si>
  <si>
    <t>Mary Allen</t>
  </si>
  <si>
    <t>ORD0436</t>
  </si>
  <si>
    <t>Alejandra Boone</t>
  </si>
  <si>
    <t>ORD0437</t>
  </si>
  <si>
    <t>Michael Spears</t>
  </si>
  <si>
    <t>ORD0438</t>
  </si>
  <si>
    <t>Kristen Miles</t>
  </si>
  <si>
    <t>ORD0439</t>
  </si>
  <si>
    <t>Latoya Soto</t>
  </si>
  <si>
    <t>ORD0440</t>
  </si>
  <si>
    <t>Daniel Booker</t>
  </si>
  <si>
    <t>ORD0441</t>
  </si>
  <si>
    <t>Dr. James Stanley DDS</t>
  </si>
  <si>
    <t>ORD0442</t>
  </si>
  <si>
    <t>Courtney Martin DDS</t>
  </si>
  <si>
    <t>ORD0443</t>
  </si>
  <si>
    <t>Michael Williams</t>
  </si>
  <si>
    <t>ORD0444</t>
  </si>
  <si>
    <t>David Hayes</t>
  </si>
  <si>
    <t>ORD0445</t>
  </si>
  <si>
    <t>Cassandra French</t>
  </si>
  <si>
    <t>ORD0446</t>
  </si>
  <si>
    <t>Amy Smith</t>
  </si>
  <si>
    <t>ORD0447</t>
  </si>
  <si>
    <t>Megan Fernandez</t>
  </si>
  <si>
    <t>ORD0448</t>
  </si>
  <si>
    <t>Kimberly Herrera</t>
  </si>
  <si>
    <t>ORD0449</t>
  </si>
  <si>
    <t>John Howard</t>
  </si>
  <si>
    <t>ORD0450</t>
  </si>
  <si>
    <t>Matthew Gomez</t>
  </si>
  <si>
    <t>ORD0451</t>
  </si>
  <si>
    <t>James Carroll</t>
  </si>
  <si>
    <t>ORD0452</t>
  </si>
  <si>
    <t>Diana Rowe</t>
  </si>
  <si>
    <t>11:22:00</t>
  </si>
  <si>
    <t>ORD0453</t>
  </si>
  <si>
    <t>Christopher Tucker</t>
  </si>
  <si>
    <t>ORD0454</t>
  </si>
  <si>
    <t>Sarah Huffman</t>
  </si>
  <si>
    <t>ORD0455</t>
  </si>
  <si>
    <t>Mark Reed</t>
  </si>
  <si>
    <t>ORD0456</t>
  </si>
  <si>
    <t>Jennifer Tucker</t>
  </si>
  <si>
    <t>ORD0457</t>
  </si>
  <si>
    <t>David Sullivan</t>
  </si>
  <si>
    <t>ORD0458</t>
  </si>
  <si>
    <t>Julie Daniels</t>
  </si>
  <si>
    <t>ORD0459</t>
  </si>
  <si>
    <t>Latoya Holloway</t>
  </si>
  <si>
    <t>ORD0460</t>
  </si>
  <si>
    <t>Gary Sosa</t>
  </si>
  <si>
    <t>ORD0461</t>
  </si>
  <si>
    <t>Jessica Dominguez</t>
  </si>
  <si>
    <t>ORD0462</t>
  </si>
  <si>
    <t>Amy Carpenter</t>
  </si>
  <si>
    <t>ORD0463</t>
  </si>
  <si>
    <t>Daniel White</t>
  </si>
  <si>
    <t>ORD0464</t>
  </si>
  <si>
    <t>Crystal Brewer</t>
  </si>
  <si>
    <t>ORD0465</t>
  </si>
  <si>
    <t>Christopher Cross</t>
  </si>
  <si>
    <t>ORD0466</t>
  </si>
  <si>
    <t>Robert Roberts</t>
  </si>
  <si>
    <t>09:57:00</t>
  </si>
  <si>
    <t>ORD0467</t>
  </si>
  <si>
    <t>Courtney White</t>
  </si>
  <si>
    <t>ORD0468</t>
  </si>
  <si>
    <t>Hunter Fernandez</t>
  </si>
  <si>
    <t>ORD0469</t>
  </si>
  <si>
    <t>William Pennington</t>
  </si>
  <si>
    <t>ORD0470</t>
  </si>
  <si>
    <t>Vincent Smith</t>
  </si>
  <si>
    <t>ORD0471</t>
  </si>
  <si>
    <t>Chloe Fisher</t>
  </si>
  <si>
    <t>ORD0472</t>
  </si>
  <si>
    <t>Rebekah Reyes</t>
  </si>
  <si>
    <t>ORD0473</t>
  </si>
  <si>
    <t>Leah Williams</t>
  </si>
  <si>
    <t>ORD0474</t>
  </si>
  <si>
    <t>Gregory Lambert</t>
  </si>
  <si>
    <t>ORD0475</t>
  </si>
  <si>
    <t>Monica Perez</t>
  </si>
  <si>
    <t>ORD0476</t>
  </si>
  <si>
    <t>Wanda Nelson</t>
  </si>
  <si>
    <t>ORD0477</t>
  </si>
  <si>
    <t>Michelle Evans</t>
  </si>
  <si>
    <t>ORD0478</t>
  </si>
  <si>
    <t>Beth Williams</t>
  </si>
  <si>
    <t>ORD0479</t>
  </si>
  <si>
    <t>Michael Lee</t>
  </si>
  <si>
    <t>10:22:00</t>
  </si>
  <si>
    <t>ORD0480</t>
  </si>
  <si>
    <t>Nicole Bell</t>
  </si>
  <si>
    <t>ORD0481</t>
  </si>
  <si>
    <t>Victor Stephens</t>
  </si>
  <si>
    <t>ORD0482</t>
  </si>
  <si>
    <t>John Martinez</t>
  </si>
  <si>
    <t>ORD0483</t>
  </si>
  <si>
    <t>Ryan Patterson</t>
  </si>
  <si>
    <t>ORD0484</t>
  </si>
  <si>
    <t>Andre Bell</t>
  </si>
  <si>
    <t>ORD0485</t>
  </si>
  <si>
    <t>Jacob Cruz</t>
  </si>
  <si>
    <t>ORD0486</t>
  </si>
  <si>
    <t>Kelly Blanchard</t>
  </si>
  <si>
    <t>ORD0487</t>
  </si>
  <si>
    <t>Thomas Howell</t>
  </si>
  <si>
    <t>ORD0488</t>
  </si>
  <si>
    <t>Marvin Kaufman</t>
  </si>
  <si>
    <t>ORD0489</t>
  </si>
  <si>
    <t>James Caldwell</t>
  </si>
  <si>
    <t>10:13:00</t>
  </si>
  <si>
    <t>ORD0490</t>
  </si>
  <si>
    <t>Rodney Gibson</t>
  </si>
  <si>
    <t>08:02:00</t>
  </si>
  <si>
    <t>ORD0491</t>
  </si>
  <si>
    <t>Austin Cole</t>
  </si>
  <si>
    <t>ORD0492</t>
  </si>
  <si>
    <t>Lance Franco</t>
  </si>
  <si>
    <t>ORD0493</t>
  </si>
  <si>
    <t>Christopher Joyce</t>
  </si>
  <si>
    <t>ORD0494</t>
  </si>
  <si>
    <t>Alec Garza</t>
  </si>
  <si>
    <t>10:05:00</t>
  </si>
  <si>
    <t>ORD0495</t>
  </si>
  <si>
    <t>Adam Guzman</t>
  </si>
  <si>
    <t>ORD0496</t>
  </si>
  <si>
    <t>Angela Camacho</t>
  </si>
  <si>
    <t>ORD0497</t>
  </si>
  <si>
    <t>Ryan Diaz</t>
  </si>
  <si>
    <t>ORD0498</t>
  </si>
  <si>
    <t>Alicia Nunez</t>
  </si>
  <si>
    <t>ORD0499</t>
  </si>
  <si>
    <t>Elizabeth Chambers</t>
  </si>
  <si>
    <t>ORD0500</t>
  </si>
  <si>
    <t>David Greene</t>
  </si>
  <si>
    <t>ORD0501</t>
  </si>
  <si>
    <t>Michael King</t>
  </si>
  <si>
    <t>ORD0502</t>
  </si>
  <si>
    <t>Jenny Taylor</t>
  </si>
  <si>
    <t>08:47:00</t>
  </si>
  <si>
    <t>ORD0503</t>
  </si>
  <si>
    <t>Thomas Nichols</t>
  </si>
  <si>
    <t>ORD0504</t>
  </si>
  <si>
    <t>Matthew Hoffman</t>
  </si>
  <si>
    <t>ORD0505</t>
  </si>
  <si>
    <t>Dr. Glenn Gaines</t>
  </si>
  <si>
    <t>ORD0506</t>
  </si>
  <si>
    <t>Stephanie Walker</t>
  </si>
  <si>
    <t>ORD0507</t>
  </si>
  <si>
    <t>Brandon Rogers</t>
  </si>
  <si>
    <t>ORD0508</t>
  </si>
  <si>
    <t>Arthur Parker</t>
  </si>
  <si>
    <t>ORD0509</t>
  </si>
  <si>
    <t>Monica Jackson</t>
  </si>
  <si>
    <t>ORD0510</t>
  </si>
  <si>
    <t>Corey Ayala</t>
  </si>
  <si>
    <t>ORD0511</t>
  </si>
  <si>
    <t>Amy Johnson</t>
  </si>
  <si>
    <t>ORD0512</t>
  </si>
  <si>
    <t>Joshua Young</t>
  </si>
  <si>
    <t>ORD0513</t>
  </si>
  <si>
    <t>Alison Williams</t>
  </si>
  <si>
    <t>ORD0514</t>
  </si>
  <si>
    <t>Theresa Huber</t>
  </si>
  <si>
    <t>ORD0515</t>
  </si>
  <si>
    <t>Karen Johnston</t>
  </si>
  <si>
    <t>ORD0516</t>
  </si>
  <si>
    <t>Clayton Green</t>
  </si>
  <si>
    <t>11:21:00</t>
  </si>
  <si>
    <t>ORD0517</t>
  </si>
  <si>
    <t>Tammy Pham</t>
  </si>
  <si>
    <t>ORD0518</t>
  </si>
  <si>
    <t>Ryan Wallace</t>
  </si>
  <si>
    <t>ORD0519</t>
  </si>
  <si>
    <t>Leslie Moore</t>
  </si>
  <si>
    <t>ORD0520</t>
  </si>
  <si>
    <t>Stephanie Monroe</t>
  </si>
  <si>
    <t>ORD0521</t>
  </si>
  <si>
    <t>Anthony Stevens</t>
  </si>
  <si>
    <t>ORD0522</t>
  </si>
  <si>
    <t>Henry Harris</t>
  </si>
  <si>
    <t>ORD0523</t>
  </si>
  <si>
    <t>Laurie Palmer</t>
  </si>
  <si>
    <t>ORD0524</t>
  </si>
  <si>
    <t>Kyle Scott</t>
  </si>
  <si>
    <t>ORD0525</t>
  </si>
  <si>
    <t>Jimmy Brown</t>
  </si>
  <si>
    <t>ORD0526</t>
  </si>
  <si>
    <t>Joel Doyle</t>
  </si>
  <si>
    <t>ORD0527</t>
  </si>
  <si>
    <t>Ana Chambers</t>
  </si>
  <si>
    <t>ORD0528</t>
  </si>
  <si>
    <t>Teresa Roman</t>
  </si>
  <si>
    <t>11:44:00</t>
  </si>
  <si>
    <t>ORD0529</t>
  </si>
  <si>
    <t>Mary Williams</t>
  </si>
  <si>
    <t>ORD0530</t>
  </si>
  <si>
    <t>David Perez</t>
  </si>
  <si>
    <t>ORD0531</t>
  </si>
  <si>
    <t>Richard Owens</t>
  </si>
  <si>
    <t>ORD0532</t>
  </si>
  <si>
    <t>Eugene Hall MD</t>
  </si>
  <si>
    <t>ORD0533</t>
  </si>
  <si>
    <t>Alan Chavez MD</t>
  </si>
  <si>
    <t>ORD0534</t>
  </si>
  <si>
    <t>Daniel Hudson</t>
  </si>
  <si>
    <t>ORD0535</t>
  </si>
  <si>
    <t>Tammy Cameron</t>
  </si>
  <si>
    <t>ORD0536</t>
  </si>
  <si>
    <t>Robert Young</t>
  </si>
  <si>
    <t>ORD0537</t>
  </si>
  <si>
    <t>Sandra Andrews</t>
  </si>
  <si>
    <t>08:01:00</t>
  </si>
  <si>
    <t>ORD0538</t>
  </si>
  <si>
    <t>April Diaz</t>
  </si>
  <si>
    <t>ORD0539</t>
  </si>
  <si>
    <t>Mr. Peter Williams</t>
  </si>
  <si>
    <t>ORD0540</t>
  </si>
  <si>
    <t>Brian Smith</t>
  </si>
  <si>
    <t>ORD0541</t>
  </si>
  <si>
    <t>Jimmy Rivera</t>
  </si>
  <si>
    <t>ORD0542</t>
  </si>
  <si>
    <t>Katrina Boyd</t>
  </si>
  <si>
    <t>ORD0543</t>
  </si>
  <si>
    <t>Nathaniel Brooks</t>
  </si>
  <si>
    <t>ORD0544</t>
  </si>
  <si>
    <t>Karen Owens</t>
  </si>
  <si>
    <t>ORD0545</t>
  </si>
  <si>
    <t>Zachary Underwood</t>
  </si>
  <si>
    <t>ORD0546</t>
  </si>
  <si>
    <t>James Martinez</t>
  </si>
  <si>
    <t>ORD0547</t>
  </si>
  <si>
    <t>Douglas Palmer</t>
  </si>
  <si>
    <t>ORD0548</t>
  </si>
  <si>
    <t>Samuel Peterson</t>
  </si>
  <si>
    <t>ORD0549</t>
  </si>
  <si>
    <t>Dawn Henderson</t>
  </si>
  <si>
    <t>ORD0550</t>
  </si>
  <si>
    <t>Amber Gillespie</t>
  </si>
  <si>
    <t>ORD0551</t>
  </si>
  <si>
    <t>Colton Atkins</t>
  </si>
  <si>
    <t>08:49:00</t>
  </si>
  <si>
    <t>ORD0552</t>
  </si>
  <si>
    <t>Matthew Juarez</t>
  </si>
  <si>
    <t>ORD0553</t>
  </si>
  <si>
    <t>Nathaniel Hernandez</t>
  </si>
  <si>
    <t>ORD0554</t>
  </si>
  <si>
    <t>Sylvia Hamilton</t>
  </si>
  <si>
    <t>09:05:00</t>
  </si>
  <si>
    <t>ORD0555</t>
  </si>
  <si>
    <t>Tara Robertson</t>
  </si>
  <si>
    <t>ORD0556</t>
  </si>
  <si>
    <t>Sonya Park</t>
  </si>
  <si>
    <t>ORD0557</t>
  </si>
  <si>
    <t>Maria Foster</t>
  </si>
  <si>
    <t>ORD0558</t>
  </si>
  <si>
    <t>Parker Mitchell</t>
  </si>
  <si>
    <t>ORD0559</t>
  </si>
  <si>
    <t>Emily Novak</t>
  </si>
  <si>
    <t>ORD0560</t>
  </si>
  <si>
    <t>Richard Gibson</t>
  </si>
  <si>
    <t>09:47:00</t>
  </si>
  <si>
    <t>ORD0561</t>
  </si>
  <si>
    <t>Joy Lewis</t>
  </si>
  <si>
    <t>ORD0562</t>
  </si>
  <si>
    <t>William Scott</t>
  </si>
  <si>
    <t>10:04:00</t>
  </si>
  <si>
    <t>ORD0563</t>
  </si>
  <si>
    <t>Edward Bates</t>
  </si>
  <si>
    <t>ORD0564</t>
  </si>
  <si>
    <t>Susan Navarro</t>
  </si>
  <si>
    <t>ORD0565</t>
  </si>
  <si>
    <t>Jessica Adams</t>
  </si>
  <si>
    <t>ORD0566</t>
  </si>
  <si>
    <t>Taylor Anderson</t>
  </si>
  <si>
    <t>ORD0567</t>
  </si>
  <si>
    <t>Colleen Prince</t>
  </si>
  <si>
    <t>ORD0568</t>
  </si>
  <si>
    <t>Mark Williams</t>
  </si>
  <si>
    <t>ORD0569</t>
  </si>
  <si>
    <t>Rachel Pham</t>
  </si>
  <si>
    <t>ORD0570</t>
  </si>
  <si>
    <t>Michael Richards</t>
  </si>
  <si>
    <t>ORD0571</t>
  </si>
  <si>
    <t>Michael Robinson</t>
  </si>
  <si>
    <t>ORD0572</t>
  </si>
  <si>
    <t>Stephanie Smith</t>
  </si>
  <si>
    <t>ORD0573</t>
  </si>
  <si>
    <t>Kathy Lowe</t>
  </si>
  <si>
    <t>ORD0574</t>
  </si>
  <si>
    <t>Michael Hall</t>
  </si>
  <si>
    <t>ORD0575</t>
  </si>
  <si>
    <t>Tiffany Heath</t>
  </si>
  <si>
    <t>ORD0576</t>
  </si>
  <si>
    <t>Ann Brown</t>
  </si>
  <si>
    <t>ORD0577</t>
  </si>
  <si>
    <t>Colleen Lane</t>
  </si>
  <si>
    <t>ORD0578</t>
  </si>
  <si>
    <t>Christian Willis</t>
  </si>
  <si>
    <t>ORD0579</t>
  </si>
  <si>
    <t>Colleen Fisher</t>
  </si>
  <si>
    <t>ORD0580</t>
  </si>
  <si>
    <t>Todd Anderson</t>
  </si>
  <si>
    <t>ORD0581</t>
  </si>
  <si>
    <t>Jonathan Howe</t>
  </si>
  <si>
    <t>ORD0582</t>
  </si>
  <si>
    <t>Shelia Garza</t>
  </si>
  <si>
    <t>ORD0583</t>
  </si>
  <si>
    <t>Jack Williams</t>
  </si>
  <si>
    <t>ORD0584</t>
  </si>
  <si>
    <t>Terry Velasquez</t>
  </si>
  <si>
    <t>ORD0585</t>
  </si>
  <si>
    <t>Richard Wright</t>
  </si>
  <si>
    <t>ORD0586</t>
  </si>
  <si>
    <t>Terri Carroll</t>
  </si>
  <si>
    <t>ORD0587</t>
  </si>
  <si>
    <t>Wayne Kelly</t>
  </si>
  <si>
    <t>ORD0588</t>
  </si>
  <si>
    <t>Jessica Burch</t>
  </si>
  <si>
    <t>ORD0589</t>
  </si>
  <si>
    <t>Amanda Stevens</t>
  </si>
  <si>
    <t>ORD0590</t>
  </si>
  <si>
    <t>Alan Clark</t>
  </si>
  <si>
    <t>ORD0591</t>
  </si>
  <si>
    <t>Jacob Harris</t>
  </si>
  <si>
    <t>ORD0592</t>
  </si>
  <si>
    <t>Sarah Jackson</t>
  </si>
  <si>
    <t>ORD0593</t>
  </si>
  <si>
    <t>Mrs. Patricia Gaines</t>
  </si>
  <si>
    <t>ORD0594</t>
  </si>
  <si>
    <t>Jessica Hall</t>
  </si>
  <si>
    <t>ORD0595</t>
  </si>
  <si>
    <t>Christina Thomas</t>
  </si>
  <si>
    <t>ORD0596</t>
  </si>
  <si>
    <t>Nicole Austin</t>
  </si>
  <si>
    <t>ORD0597</t>
  </si>
  <si>
    <t>Catherine Shaw</t>
  </si>
  <si>
    <t>ORD0598</t>
  </si>
  <si>
    <t>Caroline Taylor</t>
  </si>
  <si>
    <t>ORD0599</t>
  </si>
  <si>
    <t>Jordan Harris</t>
  </si>
  <si>
    <t>ORD0600</t>
  </si>
  <si>
    <t>Amber Shaw</t>
  </si>
  <si>
    <t>ORD0601</t>
  </si>
  <si>
    <t>Tracy Harris</t>
  </si>
  <si>
    <t>ORD0602</t>
  </si>
  <si>
    <t>Timothy Kramer</t>
  </si>
  <si>
    <t>ORD0603</t>
  </si>
  <si>
    <t>Dawn Collins</t>
  </si>
  <si>
    <t>ORD0604</t>
  </si>
  <si>
    <t>Kevin Lewis</t>
  </si>
  <si>
    <t>ORD0605</t>
  </si>
  <si>
    <t>Denise Jones</t>
  </si>
  <si>
    <t>ORD0606</t>
  </si>
  <si>
    <t>Michael Gamble</t>
  </si>
  <si>
    <t>ORD0607</t>
  </si>
  <si>
    <t>Adam Marshall</t>
  </si>
  <si>
    <t>ORD0608</t>
  </si>
  <si>
    <t>Patricia Bartlett</t>
  </si>
  <si>
    <t>ORD0609</t>
  </si>
  <si>
    <t>Frank Wilson</t>
  </si>
  <si>
    <t>ORD0610</t>
  </si>
  <si>
    <t>Martin Zuniga</t>
  </si>
  <si>
    <t>ORD0611</t>
  </si>
  <si>
    <t>Michelle Bush</t>
  </si>
  <si>
    <t>ORD0612</t>
  </si>
  <si>
    <t>Maxwell Cox</t>
  </si>
  <si>
    <t>ORD0613</t>
  </si>
  <si>
    <t>Grace Anderson</t>
  </si>
  <si>
    <t>ORD0614</t>
  </si>
  <si>
    <t>Brett Palmer DDS</t>
  </si>
  <si>
    <t>ORD0615</t>
  </si>
  <si>
    <t>Richard Allen</t>
  </si>
  <si>
    <t>ORD0616</t>
  </si>
  <si>
    <t>Terry Thomas</t>
  </si>
  <si>
    <t>ORD0617</t>
  </si>
  <si>
    <t>Dr. Kristin Smith</t>
  </si>
  <si>
    <t>ORD0618</t>
  </si>
  <si>
    <t>John Wood</t>
  </si>
  <si>
    <t>10:18:00</t>
  </si>
  <si>
    <t>ORD0619</t>
  </si>
  <si>
    <t>Jillian Daniel</t>
  </si>
  <si>
    <t>ORD0620</t>
  </si>
  <si>
    <t>Heather May</t>
  </si>
  <si>
    <t>ORD0621</t>
  </si>
  <si>
    <t>Gene Navarro</t>
  </si>
  <si>
    <t>ORD0622</t>
  </si>
  <si>
    <t>Cheryl Santos</t>
  </si>
  <si>
    <t>ORD0623</t>
  </si>
  <si>
    <t>Gina Martinez</t>
  </si>
  <si>
    <t>ORD0624</t>
  </si>
  <si>
    <t>Jacob Burgess PhD</t>
  </si>
  <si>
    <t>ORD0625</t>
  </si>
  <si>
    <t>Maria Moody</t>
  </si>
  <si>
    <t>ORD0626</t>
  </si>
  <si>
    <t>Dylan Sosa</t>
  </si>
  <si>
    <t>ORD0627</t>
  </si>
  <si>
    <t>ORD0628</t>
  </si>
  <si>
    <t>Jennifer Taylor</t>
  </si>
  <si>
    <t>ORD0629</t>
  </si>
  <si>
    <t>Mrs. Kimberly Pitts MD</t>
  </si>
  <si>
    <t>ORD0630</t>
  </si>
  <si>
    <t>John Johnson</t>
  </si>
  <si>
    <t>ORD0631</t>
  </si>
  <si>
    <t>Janet Phillips</t>
  </si>
  <si>
    <t>ORD0632</t>
  </si>
  <si>
    <t>Leslie Smith</t>
  </si>
  <si>
    <t>ORD0633</t>
  </si>
  <si>
    <t>Angela Berger</t>
  </si>
  <si>
    <t>ORD0634</t>
  </si>
  <si>
    <t>Jordan Young</t>
  </si>
  <si>
    <t>ORD0635</t>
  </si>
  <si>
    <t>Joseph Richardson</t>
  </si>
  <si>
    <t>09:14:00</t>
  </si>
  <si>
    <t>ORD0636</t>
  </si>
  <si>
    <t>Thomas Brooks</t>
  </si>
  <si>
    <t>ORD0637</t>
  </si>
  <si>
    <t>Timothy Edwards</t>
  </si>
  <si>
    <t>ORD0638</t>
  </si>
  <si>
    <t>Daniel Riley</t>
  </si>
  <si>
    <t>ORD0639</t>
  </si>
  <si>
    <t>Mariah Scott</t>
  </si>
  <si>
    <t>ORD0640</t>
  </si>
  <si>
    <t>Haley Mckinney</t>
  </si>
  <si>
    <t>ORD0641</t>
  </si>
  <si>
    <t>Sharon Romero</t>
  </si>
  <si>
    <t>ORD0642</t>
  </si>
  <si>
    <t>Theresa Schmidt</t>
  </si>
  <si>
    <t>ORD0643</t>
  </si>
  <si>
    <t>Wendy Pierce</t>
  </si>
  <si>
    <t>ORD0644</t>
  </si>
  <si>
    <t>Ashley Simpson</t>
  </si>
  <si>
    <t>ORD0645</t>
  </si>
  <si>
    <t>James Cook</t>
  </si>
  <si>
    <t>ORD0646</t>
  </si>
  <si>
    <t>Reginald Hansen</t>
  </si>
  <si>
    <t>ORD0647</t>
  </si>
  <si>
    <t>Megan Carter</t>
  </si>
  <si>
    <t>ORD0648</t>
  </si>
  <si>
    <t>Cindy Robertson</t>
  </si>
  <si>
    <t>ORD0649</t>
  </si>
  <si>
    <t>ORD0650</t>
  </si>
  <si>
    <t>Janet Waller</t>
  </si>
  <si>
    <t>ORD0651</t>
  </si>
  <si>
    <t>David Weeks</t>
  </si>
  <si>
    <t>09:21:00</t>
  </si>
  <si>
    <t>ORD0652</t>
  </si>
  <si>
    <t>Tammy Reeves</t>
  </si>
  <si>
    <t>ORD0653</t>
  </si>
  <si>
    <t>Adrienne Martin</t>
  </si>
  <si>
    <t>09:10:00</t>
  </si>
  <si>
    <t>ORD0654</t>
  </si>
  <si>
    <t>Thomas Munoz</t>
  </si>
  <si>
    <t>ORD0655</t>
  </si>
  <si>
    <t>Dana Bartlett</t>
  </si>
  <si>
    <t>ORD0656</t>
  </si>
  <si>
    <t>Gary Scott</t>
  </si>
  <si>
    <t>ORD0657</t>
  </si>
  <si>
    <t>Tamara Fernandez</t>
  </si>
  <si>
    <t>ORD0658</t>
  </si>
  <si>
    <t>Paul Mcdaniel</t>
  </si>
  <si>
    <t>ORD0659</t>
  </si>
  <si>
    <t>Gabriel Park</t>
  </si>
  <si>
    <t>ORD0660</t>
  </si>
  <si>
    <t>Caitlyn Osborne</t>
  </si>
  <si>
    <t>ORD0661</t>
  </si>
  <si>
    <t>Ryan Bryant</t>
  </si>
  <si>
    <t>ORD0662</t>
  </si>
  <si>
    <t>Ryan Carter</t>
  </si>
  <si>
    <t>ORD0663</t>
  </si>
  <si>
    <t>Alexander Hoover</t>
  </si>
  <si>
    <t>ORD0664</t>
  </si>
  <si>
    <t>Laura Pearson</t>
  </si>
  <si>
    <t>ORD0665</t>
  </si>
  <si>
    <t>Garrett Cox</t>
  </si>
  <si>
    <t>ORD0666</t>
  </si>
  <si>
    <t>Heather Mayer</t>
  </si>
  <si>
    <t>ORD0667</t>
  </si>
  <si>
    <t>Kevin Miller</t>
  </si>
  <si>
    <t>ORD0668</t>
  </si>
  <si>
    <t>Andrew Velez</t>
  </si>
  <si>
    <t>ORD0669</t>
  </si>
  <si>
    <t>ORD0670</t>
  </si>
  <si>
    <t>Samuel Gomez</t>
  </si>
  <si>
    <t>ORD0671</t>
  </si>
  <si>
    <t>Ronald Anderson</t>
  </si>
  <si>
    <t>ORD0672</t>
  </si>
  <si>
    <t>Joseph Chen</t>
  </si>
  <si>
    <t>ORD0673</t>
  </si>
  <si>
    <t>Meghan Rogers</t>
  </si>
  <si>
    <t>ORD0674</t>
  </si>
  <si>
    <t>Katherine Berger</t>
  </si>
  <si>
    <t>ORD0675</t>
  </si>
  <si>
    <t>Tyler Griffith</t>
  </si>
  <si>
    <t>ORD0676</t>
  </si>
  <si>
    <t>John Rogers</t>
  </si>
  <si>
    <t>ORD0677</t>
  </si>
  <si>
    <t>Jennifer Becker</t>
  </si>
  <si>
    <t>ORD0678</t>
  </si>
  <si>
    <t>Anthony Clarke</t>
  </si>
  <si>
    <t>ORD0679</t>
  </si>
  <si>
    <t>Randall Wall</t>
  </si>
  <si>
    <t>ORD0680</t>
  </si>
  <si>
    <t>Jonathan Jordan</t>
  </si>
  <si>
    <t>ORD0681</t>
  </si>
  <si>
    <t>Jonathon Wall</t>
  </si>
  <si>
    <t>ORD0682</t>
  </si>
  <si>
    <t>Brittany Ramirez</t>
  </si>
  <si>
    <t>ORD0683</t>
  </si>
  <si>
    <t>Frederick Mullins</t>
  </si>
  <si>
    <t>ORD0684</t>
  </si>
  <si>
    <t>Dillon Johnson</t>
  </si>
  <si>
    <t>ORD0685</t>
  </si>
  <si>
    <t>Nicolas Velez</t>
  </si>
  <si>
    <t>ORD0686</t>
  </si>
  <si>
    <t>Michael Watson</t>
  </si>
  <si>
    <t>11:13:00</t>
  </si>
  <si>
    <t>ORD0687</t>
  </si>
  <si>
    <t>Laura Barnett</t>
  </si>
  <si>
    <t>ORD0688</t>
  </si>
  <si>
    <t>Brenda Taylor</t>
  </si>
  <si>
    <t>ORD0689</t>
  </si>
  <si>
    <t>Stacy Hanson</t>
  </si>
  <si>
    <t>ORD0690</t>
  </si>
  <si>
    <t>Amanda Perez</t>
  </si>
  <si>
    <t>ORD0691</t>
  </si>
  <si>
    <t>Susan Burns</t>
  </si>
  <si>
    <t>ORD0692</t>
  </si>
  <si>
    <t>Christy Morse</t>
  </si>
  <si>
    <t>ORD0693</t>
  </si>
  <si>
    <t>Richard Hickman</t>
  </si>
  <si>
    <t>ORD0694</t>
  </si>
  <si>
    <t>Cynthia Rodriguez</t>
  </si>
  <si>
    <t>ORD0695</t>
  </si>
  <si>
    <t>Gabrielle Walker</t>
  </si>
  <si>
    <t>ORD0696</t>
  </si>
  <si>
    <t>Donna Howard</t>
  </si>
  <si>
    <t>ORD0697</t>
  </si>
  <si>
    <t>Heather Owens</t>
  </si>
  <si>
    <t>ORD0698</t>
  </si>
  <si>
    <t>Phillip Herrera</t>
  </si>
  <si>
    <t>ORD0699</t>
  </si>
  <si>
    <t>William Graves</t>
  </si>
  <si>
    <t>ORD0700</t>
  </si>
  <si>
    <t>Martin Gardner</t>
  </si>
  <si>
    <t>ORD0701</t>
  </si>
  <si>
    <t>Lisa Munoz</t>
  </si>
  <si>
    <t>ORD0702</t>
  </si>
  <si>
    <t>Kimberly Davis</t>
  </si>
  <si>
    <t>ORD0703</t>
  </si>
  <si>
    <t>Nancy Walker</t>
  </si>
  <si>
    <t>ORD0704</t>
  </si>
  <si>
    <t>Helen Maxwell</t>
  </si>
  <si>
    <t>ORD0705</t>
  </si>
  <si>
    <t>Martin Zimmerman</t>
  </si>
  <si>
    <t>ORD0706</t>
  </si>
  <si>
    <t>Michael Chapman</t>
  </si>
  <si>
    <t>ORD0707</t>
  </si>
  <si>
    <t>Courtney Gray</t>
  </si>
  <si>
    <t>ORD0708</t>
  </si>
  <si>
    <t>Daniel Howell</t>
  </si>
  <si>
    <t>ORD0709</t>
  </si>
  <si>
    <t>Hannah Valencia</t>
  </si>
  <si>
    <t>ORD0710</t>
  </si>
  <si>
    <t>Diane Chavez</t>
  </si>
  <si>
    <t>ORD0711</t>
  </si>
  <si>
    <t>James Howard</t>
  </si>
  <si>
    <t>ORD0712</t>
  </si>
  <si>
    <t>Denise Gutierrez</t>
  </si>
  <si>
    <t>ORD0713</t>
  </si>
  <si>
    <t>Melissa Moody MD</t>
  </si>
  <si>
    <t>ORD0714</t>
  </si>
  <si>
    <t>Robin Morris MD</t>
  </si>
  <si>
    <t>ORD0715</t>
  </si>
  <si>
    <t>Jason Hamilton</t>
  </si>
  <si>
    <t>ORD0716</t>
  </si>
  <si>
    <t>Emily Johnson</t>
  </si>
  <si>
    <t>ORD0717</t>
  </si>
  <si>
    <t>Ryan Bates</t>
  </si>
  <si>
    <t>ORD0718</t>
  </si>
  <si>
    <t>Antonio Wood</t>
  </si>
  <si>
    <t>ORD0719</t>
  </si>
  <si>
    <t>Mark Alvarez</t>
  </si>
  <si>
    <t>ORD0720</t>
  </si>
  <si>
    <t>Dennis Wright</t>
  </si>
  <si>
    <t>09:59:00</t>
  </si>
  <si>
    <t>ORD0721</t>
  </si>
  <si>
    <t>Mr. David Franco</t>
  </si>
  <si>
    <t>ORD0722</t>
  </si>
  <si>
    <t>Kevin Blair</t>
  </si>
  <si>
    <t>ORD0723</t>
  </si>
  <si>
    <t>Brittany Swanson DDS</t>
  </si>
  <si>
    <t>ORD0724</t>
  </si>
  <si>
    <t>Mandy Davis</t>
  </si>
  <si>
    <t>ORD0725</t>
  </si>
  <si>
    <t>Philip Kelley</t>
  </si>
  <si>
    <t>ORD0726</t>
  </si>
  <si>
    <t>Raymond Gonzalez</t>
  </si>
  <si>
    <t>ORD0727</t>
  </si>
  <si>
    <t>Brenda Martin</t>
  </si>
  <si>
    <t>08:39:00</t>
  </si>
  <si>
    <t>ORD0728</t>
  </si>
  <si>
    <t>Shannon Byrd</t>
  </si>
  <si>
    <t>ORD0729</t>
  </si>
  <si>
    <t>Crystal Horn</t>
  </si>
  <si>
    <t>ORD0730</t>
  </si>
  <si>
    <t>Brett Roberts</t>
  </si>
  <si>
    <t>ORD0731</t>
  </si>
  <si>
    <t>Sarah Nelson</t>
  </si>
  <si>
    <t>ORD0732</t>
  </si>
  <si>
    <t>Stephanie Murphy</t>
  </si>
  <si>
    <t>08:59:00</t>
  </si>
  <si>
    <t>ORD0733</t>
  </si>
  <si>
    <t>Veronica Morales</t>
  </si>
  <si>
    <t>ORD0734</t>
  </si>
  <si>
    <t>Alexander Johnson</t>
  </si>
  <si>
    <t>ORD0735</t>
  </si>
  <si>
    <t>Frank Weiss</t>
  </si>
  <si>
    <t>ORD0736</t>
  </si>
  <si>
    <t>Tony Jennings</t>
  </si>
  <si>
    <t>ORD0737</t>
  </si>
  <si>
    <t>Robert Brown</t>
  </si>
  <si>
    <t>ORD0738</t>
  </si>
  <si>
    <t>Dana Woods</t>
  </si>
  <si>
    <t>ORD0739</t>
  </si>
  <si>
    <t>Kelly Vargas</t>
  </si>
  <si>
    <t>ORD0740</t>
  </si>
  <si>
    <t>Roy Jackson</t>
  </si>
  <si>
    <t>ORD0741</t>
  </si>
  <si>
    <t>Troy Hernandez</t>
  </si>
  <si>
    <t>ORD0742</t>
  </si>
  <si>
    <t>Joseph Phillips</t>
  </si>
  <si>
    <t>ORD0743</t>
  </si>
  <si>
    <t>Michael Arias</t>
  </si>
  <si>
    <t>ORD0744</t>
  </si>
  <si>
    <t>Wesley Lynch</t>
  </si>
  <si>
    <t>ORD0745</t>
  </si>
  <si>
    <t>Hayden Ortega</t>
  </si>
  <si>
    <t>ORD0746</t>
  </si>
  <si>
    <t>Sharon Richardson</t>
  </si>
  <si>
    <t>ORD0747</t>
  </si>
  <si>
    <t>Laurie Padilla MD</t>
  </si>
  <si>
    <t>ORD0748</t>
  </si>
  <si>
    <t>Sylvia Johnson</t>
  </si>
  <si>
    <t>ORD0749</t>
  </si>
  <si>
    <t>Marcus Hall</t>
  </si>
  <si>
    <t>ORD0750</t>
  </si>
  <si>
    <t>Kevin Martinez</t>
  </si>
  <si>
    <t>ORD0751</t>
  </si>
  <si>
    <t>Derek Brandt</t>
  </si>
  <si>
    <t>ORD0752</t>
  </si>
  <si>
    <t>Brittany Stokes</t>
  </si>
  <si>
    <t>ORD0753</t>
  </si>
  <si>
    <t>ORD0754</t>
  </si>
  <si>
    <t>Mary Franco</t>
  </si>
  <si>
    <t>ORD0755</t>
  </si>
  <si>
    <t>Veronica Stewart</t>
  </si>
  <si>
    <t>ORD0756</t>
  </si>
  <si>
    <t>Savannah Adams</t>
  </si>
  <si>
    <t>ORD0757</t>
  </si>
  <si>
    <t>Brenda Morales</t>
  </si>
  <si>
    <t>ORD0758</t>
  </si>
  <si>
    <t>Alan Farrell</t>
  </si>
  <si>
    <t>ORD0759</t>
  </si>
  <si>
    <t>Erika Wilson</t>
  </si>
  <si>
    <t>ORD0760</t>
  </si>
  <si>
    <t>Mr. Matthew Ross</t>
  </si>
  <si>
    <t>ORD0761</t>
  </si>
  <si>
    <t>Mackenzie Martinez</t>
  </si>
  <si>
    <t>ORD0762</t>
  </si>
  <si>
    <t>Samantha Salazar</t>
  </si>
  <si>
    <t>ORD0763</t>
  </si>
  <si>
    <t>Mikayla Johnson</t>
  </si>
  <si>
    <t>ORD0764</t>
  </si>
  <si>
    <t>Scott Woods</t>
  </si>
  <si>
    <t>ORD0765</t>
  </si>
  <si>
    <t>Tracey Huffman</t>
  </si>
  <si>
    <t>ORD0766</t>
  </si>
  <si>
    <t>Courtney Long</t>
  </si>
  <si>
    <t>ORD0767</t>
  </si>
  <si>
    <t>John Sawyer</t>
  </si>
  <si>
    <t>ORD0768</t>
  </si>
  <si>
    <t>Christopher Gates</t>
  </si>
  <si>
    <t>ORD0769</t>
  </si>
  <si>
    <t>ORD0770</t>
  </si>
  <si>
    <t>William Stewart</t>
  </si>
  <si>
    <t>ORD0771</t>
  </si>
  <si>
    <t>Kathryn Gilbert</t>
  </si>
  <si>
    <t>ORD0772</t>
  </si>
  <si>
    <t>Kyle Castro</t>
  </si>
  <si>
    <t>ORD0773</t>
  </si>
  <si>
    <t>Sarah Wade</t>
  </si>
  <si>
    <t>ORD0774</t>
  </si>
  <si>
    <t>Diane Garrett</t>
  </si>
  <si>
    <t>ORD0775</t>
  </si>
  <si>
    <t>William Weaver</t>
  </si>
  <si>
    <t>ORD0776</t>
  </si>
  <si>
    <t>Todd Pierce</t>
  </si>
  <si>
    <t>ORD0777</t>
  </si>
  <si>
    <t>Cheryl Green</t>
  </si>
  <si>
    <t>ORD0778</t>
  </si>
  <si>
    <t>Anna Bennett</t>
  </si>
  <si>
    <t>ORD0779</t>
  </si>
  <si>
    <t>Brad Garcia</t>
  </si>
  <si>
    <t>ORD0780</t>
  </si>
  <si>
    <t>Erica Marquez</t>
  </si>
  <si>
    <t>ORD0781</t>
  </si>
  <si>
    <t>Jennifer Ward</t>
  </si>
  <si>
    <t>ORD0782</t>
  </si>
  <si>
    <t>Samuel Maxwell</t>
  </si>
  <si>
    <t>ORD0783</t>
  </si>
  <si>
    <t>Whitney Williams</t>
  </si>
  <si>
    <t>ORD0784</t>
  </si>
  <si>
    <t>Kimberly Martin</t>
  </si>
  <si>
    <t>ORD0785</t>
  </si>
  <si>
    <t>Gregg Montoya</t>
  </si>
  <si>
    <t>ORD0786</t>
  </si>
  <si>
    <t>Stephen Thomas</t>
  </si>
  <si>
    <t>ORD0787</t>
  </si>
  <si>
    <t>Matthew Nash</t>
  </si>
  <si>
    <t>ORD0788</t>
  </si>
  <si>
    <t>Chris Carlson</t>
  </si>
  <si>
    <t>ORD0789</t>
  </si>
  <si>
    <t>Mark Morrison</t>
  </si>
  <si>
    <t>ORD0790</t>
  </si>
  <si>
    <t>Jeanne Jackson</t>
  </si>
  <si>
    <t>ORD0791</t>
  </si>
  <si>
    <t>Michelle Allen</t>
  </si>
  <si>
    <t>ORD0792</t>
  </si>
  <si>
    <t>Brenda Wright</t>
  </si>
  <si>
    <t>ORD0793</t>
  </si>
  <si>
    <t>Steve Juarez</t>
  </si>
  <si>
    <t>ORD0794</t>
  </si>
  <si>
    <t>James Mckinney</t>
  </si>
  <si>
    <t>ORD0795</t>
  </si>
  <si>
    <t>Mr. Matthew Coleman MD</t>
  </si>
  <si>
    <t>ORD0796</t>
  </si>
  <si>
    <t>Devin Anderson</t>
  </si>
  <si>
    <t>10:36:00</t>
  </si>
  <si>
    <t>ORD0797</t>
  </si>
  <si>
    <t>Elizabeth King</t>
  </si>
  <si>
    <t>ORD0798</t>
  </si>
  <si>
    <t>Emily Molina</t>
  </si>
  <si>
    <t>ORD0799</t>
  </si>
  <si>
    <t>Michael Phillips</t>
  </si>
  <si>
    <t>ORD0800</t>
  </si>
  <si>
    <t>Amanda Nelson</t>
  </si>
  <si>
    <t>ORD0801</t>
  </si>
  <si>
    <t>Beth Parker</t>
  </si>
  <si>
    <t>ORD0802</t>
  </si>
  <si>
    <t>Rodney Bradshaw</t>
  </si>
  <si>
    <t>ORD0803</t>
  </si>
  <si>
    <t>Crystal Mullins</t>
  </si>
  <si>
    <t>ORD0804</t>
  </si>
  <si>
    <t>Jamie Jones</t>
  </si>
  <si>
    <t>ORD0805</t>
  </si>
  <si>
    <t>Mark Hernandez</t>
  </si>
  <si>
    <t>ORD0806</t>
  </si>
  <si>
    <t>Shane Daniels</t>
  </si>
  <si>
    <t>ORD0807</t>
  </si>
  <si>
    <t>Christopher Fletcher</t>
  </si>
  <si>
    <t>ORD0808</t>
  </si>
  <si>
    <t>Nathan Conner</t>
  </si>
  <si>
    <t>ORD0809</t>
  </si>
  <si>
    <t>Beverly Lowe</t>
  </si>
  <si>
    <t>ORD0810</t>
  </si>
  <si>
    <t>Melissa Leach</t>
  </si>
  <si>
    <t>ORD0811</t>
  </si>
  <si>
    <t>Catherine Miller</t>
  </si>
  <si>
    <t>ORD0812</t>
  </si>
  <si>
    <t>Michael David</t>
  </si>
  <si>
    <t>ORD0813</t>
  </si>
  <si>
    <t>Morgan Thomas</t>
  </si>
  <si>
    <t>ORD0814</t>
  </si>
  <si>
    <t>Tara Patel</t>
  </si>
  <si>
    <t>ORD0815</t>
  </si>
  <si>
    <t>Stephanie Ellis</t>
  </si>
  <si>
    <t>ORD0816</t>
  </si>
  <si>
    <t>Debra Powell</t>
  </si>
  <si>
    <t>ORD0817</t>
  </si>
  <si>
    <t>Troy Richards</t>
  </si>
  <si>
    <t>ORD0818</t>
  </si>
  <si>
    <t>Joseph Mata</t>
  </si>
  <si>
    <t>ORD0819</t>
  </si>
  <si>
    <t>Brian Campbell</t>
  </si>
  <si>
    <t>ORD0820</t>
  </si>
  <si>
    <t>Jasmine Smith</t>
  </si>
  <si>
    <t>ORD0821</t>
  </si>
  <si>
    <t>Alan Nicholson</t>
  </si>
  <si>
    <t>ORD0822</t>
  </si>
  <si>
    <t>Megan Wallace</t>
  </si>
  <si>
    <t>ORD0823</t>
  </si>
  <si>
    <t>William Brown</t>
  </si>
  <si>
    <t>ORD0824</t>
  </si>
  <si>
    <t>Eric Freeman</t>
  </si>
  <si>
    <t>ORD0825</t>
  </si>
  <si>
    <t>Bradley Mcmillan</t>
  </si>
  <si>
    <t>ORD0826</t>
  </si>
  <si>
    <t>Susan Benton</t>
  </si>
  <si>
    <t>ORD0827</t>
  </si>
  <si>
    <t>Michael Sanchez</t>
  </si>
  <si>
    <t>ORD0828</t>
  </si>
  <si>
    <t>James Parker</t>
  </si>
  <si>
    <t>ORD0829</t>
  </si>
  <si>
    <t>Rachel Cook</t>
  </si>
  <si>
    <t>ORD0830</t>
  </si>
  <si>
    <t>Shawn Zimmerman</t>
  </si>
  <si>
    <t>ORD0831</t>
  </si>
  <si>
    <t>Ashley Harris</t>
  </si>
  <si>
    <t>ORD0832</t>
  </si>
  <si>
    <t>Amanda Gonzalez</t>
  </si>
  <si>
    <t>ORD0833</t>
  </si>
  <si>
    <t>James Odonnell</t>
  </si>
  <si>
    <t>ORD0834</t>
  </si>
  <si>
    <t>Gail Hunt</t>
  </si>
  <si>
    <t>ORD0835</t>
  </si>
  <si>
    <t>Jessica Davis</t>
  </si>
  <si>
    <t>ORD0836</t>
  </si>
  <si>
    <t>Jose Curry</t>
  </si>
  <si>
    <t>ORD0837</t>
  </si>
  <si>
    <t>Lorraine Irwin</t>
  </si>
  <si>
    <t>ORD0838</t>
  </si>
  <si>
    <t>Tim Meyer</t>
  </si>
  <si>
    <t>ORD0839</t>
  </si>
  <si>
    <t>Tonya Erickson</t>
  </si>
  <si>
    <t>ORD0840</t>
  </si>
  <si>
    <t>Jessica Wheeler</t>
  </si>
  <si>
    <t>ORD0841</t>
  </si>
  <si>
    <t>Katherine Woods</t>
  </si>
  <si>
    <t>ORD0842</t>
  </si>
  <si>
    <t>Michelle Mcbride</t>
  </si>
  <si>
    <t>10:49:00</t>
  </si>
  <si>
    <t>ORD0843</t>
  </si>
  <si>
    <t>Lori Rodriguez</t>
  </si>
  <si>
    <t>ORD0844</t>
  </si>
  <si>
    <t>Ellen Palmer</t>
  </si>
  <si>
    <t>ORD0845</t>
  </si>
  <si>
    <t>Diane Tran</t>
  </si>
  <si>
    <t>ORD0846</t>
  </si>
  <si>
    <t>Scott Morgan</t>
  </si>
  <si>
    <t>ORD0847</t>
  </si>
  <si>
    <t>Matthew Rivas</t>
  </si>
  <si>
    <t>ORD0848</t>
  </si>
  <si>
    <t>Christina Davidson</t>
  </si>
  <si>
    <t>ORD0849</t>
  </si>
  <si>
    <t>Carl Jackson</t>
  </si>
  <si>
    <t>ORD0850</t>
  </si>
  <si>
    <t>Chad Guzman</t>
  </si>
  <si>
    <t>ORD0851</t>
  </si>
  <si>
    <t>Bradley Jackson</t>
  </si>
  <si>
    <t>ORD0852</t>
  </si>
  <si>
    <t>Shawn Graves</t>
  </si>
  <si>
    <t>ORD0853</t>
  </si>
  <si>
    <t>James Lewis</t>
  </si>
  <si>
    <t>ORD0854</t>
  </si>
  <si>
    <t>Ryan Garcia</t>
  </si>
  <si>
    <t>ORD0855</t>
  </si>
  <si>
    <t>Charles Green</t>
  </si>
  <si>
    <t>ORD0856</t>
  </si>
  <si>
    <t>Jeffrey Hamilton</t>
  </si>
  <si>
    <t>ORD0857</t>
  </si>
  <si>
    <t>Joseph Thomas</t>
  </si>
  <si>
    <t>ORD0858</t>
  </si>
  <si>
    <t>Amber Mueller</t>
  </si>
  <si>
    <t>ORD0859</t>
  </si>
  <si>
    <t>Brenda Stevens</t>
  </si>
  <si>
    <t>ORD0860</t>
  </si>
  <si>
    <t>Howard Jackson</t>
  </si>
  <si>
    <t>ORD0861</t>
  </si>
  <si>
    <t>Victor Camacho</t>
  </si>
  <si>
    <t>ORD0862</t>
  </si>
  <si>
    <t>Anthony Hansen</t>
  </si>
  <si>
    <t>ORD0863</t>
  </si>
  <si>
    <t>Michael Holt</t>
  </si>
  <si>
    <t>ORD0864</t>
  </si>
  <si>
    <t>Patrick Johnson</t>
  </si>
  <si>
    <t>ORD0865</t>
  </si>
  <si>
    <t>Lisa Parker</t>
  </si>
  <si>
    <t>ORD0866</t>
  </si>
  <si>
    <t>Charles Flores</t>
  </si>
  <si>
    <t>ORD0867</t>
  </si>
  <si>
    <t>Alexis Bell</t>
  </si>
  <si>
    <t>ORD0868</t>
  </si>
  <si>
    <t>Holly Harris</t>
  </si>
  <si>
    <t>ORD0869</t>
  </si>
  <si>
    <t>Seth West</t>
  </si>
  <si>
    <t>ORD0870</t>
  </si>
  <si>
    <t>Brittany Arnold</t>
  </si>
  <si>
    <t>ORD0871</t>
  </si>
  <si>
    <t>Melissa Poole</t>
  </si>
  <si>
    <t>ORD0872</t>
  </si>
  <si>
    <t>Anthony Taylor</t>
  </si>
  <si>
    <t>ORD0873</t>
  </si>
  <si>
    <t>ORD0874</t>
  </si>
  <si>
    <t>ORD0875</t>
  </si>
  <si>
    <t>Donald Murray</t>
  </si>
  <si>
    <t>ORD0876</t>
  </si>
  <si>
    <t>Amanda Dickerson</t>
  </si>
  <si>
    <t>ORD0877</t>
  </si>
  <si>
    <t>Ronald Ramsey</t>
  </si>
  <si>
    <t>ORD0878</t>
  </si>
  <si>
    <t>Anthony Wright</t>
  </si>
  <si>
    <t>ORD0879</t>
  </si>
  <si>
    <t>Nicole Morris</t>
  </si>
  <si>
    <t>ORD0880</t>
  </si>
  <si>
    <t>Derek Archer</t>
  </si>
  <si>
    <t>ORD0881</t>
  </si>
  <si>
    <t>Joseph Johnson</t>
  </si>
  <si>
    <t>ORD0882</t>
  </si>
  <si>
    <t>Robert Joyce</t>
  </si>
  <si>
    <t>ORD0883</t>
  </si>
  <si>
    <t>Amy Cochran</t>
  </si>
  <si>
    <t>ORD0884</t>
  </si>
  <si>
    <t>Michael Hayes</t>
  </si>
  <si>
    <t>ORD0885</t>
  </si>
  <si>
    <t>Erin Larson</t>
  </si>
  <si>
    <t>ORD0886</t>
  </si>
  <si>
    <t>Billy Smith</t>
  </si>
  <si>
    <t>ORD0887</t>
  </si>
  <si>
    <t>Savannah Warner</t>
  </si>
  <si>
    <t>ORD0888</t>
  </si>
  <si>
    <t>Christina Le</t>
  </si>
  <si>
    <t>ORD0889</t>
  </si>
  <si>
    <t>Kyle Mcgee</t>
  </si>
  <si>
    <t>ORD0890</t>
  </si>
  <si>
    <t>Tyler Kaufman</t>
  </si>
  <si>
    <t>ORD0891</t>
  </si>
  <si>
    <t>Daniel Lewis</t>
  </si>
  <si>
    <t>ORD0892</t>
  </si>
  <si>
    <t>Kristy Mitchell</t>
  </si>
  <si>
    <t>ORD0893</t>
  </si>
  <si>
    <t>Christopher Alexander</t>
  </si>
  <si>
    <t>ORD0894</t>
  </si>
  <si>
    <t>David Henderson</t>
  </si>
  <si>
    <t>ORD0895</t>
  </si>
  <si>
    <t>Brandon Rivers</t>
  </si>
  <si>
    <t>ORD0896</t>
  </si>
  <si>
    <t>Samantha Mendoza</t>
  </si>
  <si>
    <t>ORD0897</t>
  </si>
  <si>
    <t>Marcus Sanders</t>
  </si>
  <si>
    <t>ORD0898</t>
  </si>
  <si>
    <t>Lisa Miller</t>
  </si>
  <si>
    <t>ORD0899</t>
  </si>
  <si>
    <t>Laura Park</t>
  </si>
  <si>
    <t>ORD0900</t>
  </si>
  <si>
    <t>Amy Compton</t>
  </si>
  <si>
    <t>ORD0901</t>
  </si>
  <si>
    <t>Amber Rodriguez</t>
  </si>
  <si>
    <t>ORD0902</t>
  </si>
  <si>
    <t>Caitlyn Cole</t>
  </si>
  <si>
    <t>ORD0903</t>
  </si>
  <si>
    <t>Jeremy Drake</t>
  </si>
  <si>
    <t>ORD0904</t>
  </si>
  <si>
    <t>Nicole Newton</t>
  </si>
  <si>
    <t>ORD0905</t>
  </si>
  <si>
    <t>Adam White</t>
  </si>
  <si>
    <t>ORD0906</t>
  </si>
  <si>
    <t>Sarah Anderson</t>
  </si>
  <si>
    <t>09:56:00</t>
  </si>
  <si>
    <t>ORD0907</t>
  </si>
  <si>
    <t>Jesse Williams</t>
  </si>
  <si>
    <t>ORD0908</t>
  </si>
  <si>
    <t>Dr. Jennifer Washington DVM</t>
  </si>
  <si>
    <t>ORD0909</t>
  </si>
  <si>
    <t>Holly Davenport</t>
  </si>
  <si>
    <t>ORD0910</t>
  </si>
  <si>
    <t>Daniel Shelton</t>
  </si>
  <si>
    <t>ORD0911</t>
  </si>
  <si>
    <t>Dr. Karen Avila</t>
  </si>
  <si>
    <t>ORD0912</t>
  </si>
  <si>
    <t>Dr. Andrew Conrad</t>
  </si>
  <si>
    <t>ORD0913</t>
  </si>
  <si>
    <t>Allen Evans</t>
  </si>
  <si>
    <t>ORD0914</t>
  </si>
  <si>
    <t>Joseph Burns</t>
  </si>
  <si>
    <t>ORD0915</t>
  </si>
  <si>
    <t>Anthony Dawson</t>
  </si>
  <si>
    <t>ORD0916</t>
  </si>
  <si>
    <t>Judy Allison</t>
  </si>
  <si>
    <t>ORD0917</t>
  </si>
  <si>
    <t>Tina Griffith</t>
  </si>
  <si>
    <t>09:24:00</t>
  </si>
  <si>
    <t>ORD0918</t>
  </si>
  <si>
    <t>Carol Malone</t>
  </si>
  <si>
    <t>ORD0919</t>
  </si>
  <si>
    <t>Mary Arnold</t>
  </si>
  <si>
    <t>ORD0920</t>
  </si>
  <si>
    <t>Amanda Lambert</t>
  </si>
  <si>
    <t>ORD0921</t>
  </si>
  <si>
    <t>Tom Le</t>
  </si>
  <si>
    <t>ORD0922</t>
  </si>
  <si>
    <t>Gina Smith</t>
  </si>
  <si>
    <t>ORD0923</t>
  </si>
  <si>
    <t>Monica Wilson</t>
  </si>
  <si>
    <t>ORD0924</t>
  </si>
  <si>
    <t>Maxwell Miller</t>
  </si>
  <si>
    <t>ORD0925</t>
  </si>
  <si>
    <t>Jonathan Phillips DDS</t>
  </si>
  <si>
    <t>ORD0926</t>
  </si>
  <si>
    <t>Brandon Sanford</t>
  </si>
  <si>
    <t>ORD0927</t>
  </si>
  <si>
    <t>Felicia Smith</t>
  </si>
  <si>
    <t>ORD0928</t>
  </si>
  <si>
    <t>Sean Barnett</t>
  </si>
  <si>
    <t>ORD0929</t>
  </si>
  <si>
    <t>Laura Holt</t>
  </si>
  <si>
    <t>ORD0930</t>
  </si>
  <si>
    <t>Julie Miller</t>
  </si>
  <si>
    <t>ORD0931</t>
  </si>
  <si>
    <t>Jason Kim</t>
  </si>
  <si>
    <t>ORD0932</t>
  </si>
  <si>
    <t>Jennifer Evans</t>
  </si>
  <si>
    <t>ORD0933</t>
  </si>
  <si>
    <t>Kathryn Taylor</t>
  </si>
  <si>
    <t>ORD0934</t>
  </si>
  <si>
    <t>Amy Perez</t>
  </si>
  <si>
    <t>ORD0935</t>
  </si>
  <si>
    <t>Vincent Hicks</t>
  </si>
  <si>
    <t>ORD0936</t>
  </si>
  <si>
    <t>Ashley Patel</t>
  </si>
  <si>
    <t>ORD0937</t>
  </si>
  <si>
    <t>Ashley Brown</t>
  </si>
  <si>
    <t>ORD0938</t>
  </si>
  <si>
    <t>Peggy Daniels</t>
  </si>
  <si>
    <t>ORD0939</t>
  </si>
  <si>
    <t>Monique Rodriguez</t>
  </si>
  <si>
    <t>ORD0940</t>
  </si>
  <si>
    <t>Dawn Randall</t>
  </si>
  <si>
    <t>10:35:00</t>
  </si>
  <si>
    <t>ORD0941</t>
  </si>
  <si>
    <t>Elizabeth Glass</t>
  </si>
  <si>
    <t>ORD0942</t>
  </si>
  <si>
    <t>Timothy Owens</t>
  </si>
  <si>
    <t>ORD0943</t>
  </si>
  <si>
    <t>Jennifer Luna</t>
  </si>
  <si>
    <t>ORD0944</t>
  </si>
  <si>
    <t>Alexander Johnson DVM</t>
  </si>
  <si>
    <t>ORD0945</t>
  </si>
  <si>
    <t>Justin Wilkerson</t>
  </si>
  <si>
    <t>ORD0946</t>
  </si>
  <si>
    <t>Anna Garza</t>
  </si>
  <si>
    <t>ORD0947</t>
  </si>
  <si>
    <t>Dr. Sean Allen</t>
  </si>
  <si>
    <t>ORD0948</t>
  </si>
  <si>
    <t>Jim Glover</t>
  </si>
  <si>
    <t>ORD0949</t>
  </si>
  <si>
    <t>Stacy Meyer</t>
  </si>
  <si>
    <t>ORD0950</t>
  </si>
  <si>
    <t>Ashley Mitchell</t>
  </si>
  <si>
    <t>ORD0951</t>
  </si>
  <si>
    <t>Mark Davis</t>
  </si>
  <si>
    <t>ORD0952</t>
  </si>
  <si>
    <t>Heather Townsend</t>
  </si>
  <si>
    <t>ORD0953</t>
  </si>
  <si>
    <t>Jesus Chan</t>
  </si>
  <si>
    <t>ORD0954</t>
  </si>
  <si>
    <t>Henry Williamson</t>
  </si>
  <si>
    <t>ORD0955</t>
  </si>
  <si>
    <t>Antonio Rios</t>
  </si>
  <si>
    <t>ORD0956</t>
  </si>
  <si>
    <t>Andrew Long</t>
  </si>
  <si>
    <t>ORD0957</t>
  </si>
  <si>
    <t>Chelsea Hampton</t>
  </si>
  <si>
    <t>ORD0958</t>
  </si>
  <si>
    <t>Briana Sellers</t>
  </si>
  <si>
    <t>ORD0959</t>
  </si>
  <si>
    <t>Calvin Gould</t>
  </si>
  <si>
    <t>ORD0960</t>
  </si>
  <si>
    <t>Amanda Whitehead</t>
  </si>
  <si>
    <t>ORD0961</t>
  </si>
  <si>
    <t>Gabriela Cook</t>
  </si>
  <si>
    <t>ORD0962</t>
  </si>
  <si>
    <t>Heather Copeland</t>
  </si>
  <si>
    <t>ORD0963</t>
  </si>
  <si>
    <t>Kelly Anderson</t>
  </si>
  <si>
    <t>ORD0964</t>
  </si>
  <si>
    <t>Tammy Duncan</t>
  </si>
  <si>
    <t>ORD0965</t>
  </si>
  <si>
    <t>Shawna Smith</t>
  </si>
  <si>
    <t>ORD0966</t>
  </si>
  <si>
    <t>Jane Rodriguez</t>
  </si>
  <si>
    <t>ORD0967</t>
  </si>
  <si>
    <t>Thomas Shepard</t>
  </si>
  <si>
    <t>ORD0968</t>
  </si>
  <si>
    <t>Joshua Combs</t>
  </si>
  <si>
    <t>ORD0969</t>
  </si>
  <si>
    <t>Brenda Dean</t>
  </si>
  <si>
    <t>ORD0970</t>
  </si>
  <si>
    <t>Erin Salas</t>
  </si>
  <si>
    <t>ORD0971</t>
  </si>
  <si>
    <t>Charles Gonzalez</t>
  </si>
  <si>
    <t>ORD0972</t>
  </si>
  <si>
    <t>Nicole Cabrera</t>
  </si>
  <si>
    <t>ORD0973</t>
  </si>
  <si>
    <t>Dr. Matthew Perkins</t>
  </si>
  <si>
    <t>ORD0974</t>
  </si>
  <si>
    <t>Jennifer Hall</t>
  </si>
  <si>
    <t>ORD0975</t>
  </si>
  <si>
    <t>Johnny Lewis</t>
  </si>
  <si>
    <t>ORD0976</t>
  </si>
  <si>
    <t>Francisco Morales</t>
  </si>
  <si>
    <t>ORD0977</t>
  </si>
  <si>
    <t>John Gomez</t>
  </si>
  <si>
    <t>ORD0978</t>
  </si>
  <si>
    <t>Krista Nash</t>
  </si>
  <si>
    <t>ORD0979</t>
  </si>
  <si>
    <t>Karen Lloyd</t>
  </si>
  <si>
    <t>ORD0980</t>
  </si>
  <si>
    <t>Kathleen Melton</t>
  </si>
  <si>
    <t>ORD0981</t>
  </si>
  <si>
    <t>Carl Parker</t>
  </si>
  <si>
    <t>ORD0982</t>
  </si>
  <si>
    <t>Grant Hernandez</t>
  </si>
  <si>
    <t>ORD0983</t>
  </si>
  <si>
    <t>Jill Humphrey</t>
  </si>
  <si>
    <t>ORD0984</t>
  </si>
  <si>
    <t>Teresa Carpenter</t>
  </si>
  <si>
    <t>ORD0985</t>
  </si>
  <si>
    <t>Adam Nguyen</t>
  </si>
  <si>
    <t>ORD0986</t>
  </si>
  <si>
    <t>Judy Scott</t>
  </si>
  <si>
    <t>ORD0987</t>
  </si>
  <si>
    <t>Donna Perez</t>
  </si>
  <si>
    <t>ORD0988</t>
  </si>
  <si>
    <t>Roger Davis</t>
  </si>
  <si>
    <t>ORD0989</t>
  </si>
  <si>
    <t>Aaron Wood</t>
  </si>
  <si>
    <t>ORD0990</t>
  </si>
  <si>
    <t>Jeremiah Hernandez</t>
  </si>
  <si>
    <t>ORD0991</t>
  </si>
  <si>
    <t>Julie Long</t>
  </si>
  <si>
    <t>ORD0992</t>
  </si>
  <si>
    <t>Michelle Willis</t>
  </si>
  <si>
    <t>ORD0993</t>
  </si>
  <si>
    <t>Jacqueline Bell</t>
  </si>
  <si>
    <t>ORD0994</t>
  </si>
  <si>
    <t>Shane Riley</t>
  </si>
  <si>
    <t>ORD0995</t>
  </si>
  <si>
    <t>Ricky Kelly</t>
  </si>
  <si>
    <t>ORD0996</t>
  </si>
  <si>
    <t>Melissa Garcia</t>
  </si>
  <si>
    <t>ORD0997</t>
  </si>
  <si>
    <t>Tamara Navarro</t>
  </si>
  <si>
    <t>ORD0998</t>
  </si>
  <si>
    <t>Stephanie Bailey</t>
  </si>
  <si>
    <t>ORD0999</t>
  </si>
  <si>
    <t>Jonathon Cantu</t>
  </si>
  <si>
    <t>ORD1000</t>
  </si>
  <si>
    <t>Matthew Bradley</t>
  </si>
  <si>
    <t>Total Sales</t>
  </si>
  <si>
    <t>Total profit</t>
  </si>
  <si>
    <t>BEST SELLING PRODUCT</t>
  </si>
  <si>
    <t>SALES</t>
  </si>
  <si>
    <t>PROFIT</t>
  </si>
  <si>
    <t>HIGH</t>
  </si>
  <si>
    <t>LOW</t>
  </si>
  <si>
    <t>SALES&amp;PROFIT</t>
  </si>
  <si>
    <t>BEST SELLING</t>
  </si>
  <si>
    <t>LEAST SELLING</t>
  </si>
  <si>
    <t>AVDERAGE SALES AND PROFIT</t>
  </si>
  <si>
    <t>REGION GENERATED HIGHEST VALUE</t>
  </si>
  <si>
    <t>GENERATED HIGHEST VALUE</t>
  </si>
  <si>
    <t>NUMBERS OF ORDERS FROM EACH REGION</t>
  </si>
  <si>
    <t>Total Quantitysold</t>
  </si>
  <si>
    <t>SALES FOR EACH CATEGORY</t>
  </si>
  <si>
    <t>CLASSIFY TRANSACTION</t>
  </si>
  <si>
    <t>Orders</t>
  </si>
  <si>
    <t>P/L</t>
  </si>
  <si>
    <t>Loss</t>
  </si>
  <si>
    <t>HIGH VALUE AND LOW VALUE</t>
  </si>
  <si>
    <t>HIGH VALUE/LOW</t>
  </si>
  <si>
    <t>TOTAL HIGHEST VALUE ORDERS</t>
  </si>
  <si>
    <t>TOTAL LOWESTR VALUE ORDERS</t>
  </si>
  <si>
    <t>MORE THAN AVERAGE</t>
  </si>
  <si>
    <t>LESS THAN AVERAGE</t>
  </si>
  <si>
    <t>USEFULL INFORMATION COLLECTED</t>
  </si>
  <si>
    <t>TOTAL ORDERS</t>
  </si>
  <si>
    <t>CUSTOMER NAME</t>
  </si>
  <si>
    <t>ZZ</t>
  </si>
  <si>
    <t>PRUDUCT</t>
  </si>
  <si>
    <t>YEAR</t>
  </si>
  <si>
    <t>MONTH</t>
  </si>
  <si>
    <t>DAY</t>
  </si>
  <si>
    <t>YEARLY SALES</t>
  </si>
  <si>
    <t>MONTHLY SALES</t>
  </si>
  <si>
    <t>CATEGORY</t>
  </si>
  <si>
    <t>Sep</t>
  </si>
  <si>
    <t>Jan</t>
  </si>
  <si>
    <t>May</t>
  </si>
  <si>
    <t>Jul</t>
  </si>
  <si>
    <t>Nov</t>
  </si>
  <si>
    <t>Feb</t>
  </si>
  <si>
    <t>Dec</t>
  </si>
  <si>
    <t>Jun</t>
  </si>
  <si>
    <t>Mar</t>
  </si>
  <si>
    <t>Apr</t>
  </si>
  <si>
    <t>Aug</t>
  </si>
  <si>
    <t>Oct</t>
  </si>
  <si>
    <t>DELIVERY</t>
  </si>
  <si>
    <t>DELIVERY DATE</t>
  </si>
  <si>
    <t>MONTH2</t>
  </si>
  <si>
    <t>MAXIMUM DELIVERY DAYS</t>
  </si>
  <si>
    <t>MINIMUM DELIVERY DAYS</t>
  </si>
  <si>
    <t>PRODUCT</t>
  </si>
  <si>
    <t>QUANTITY</t>
  </si>
  <si>
    <t>AVERAGE SALES</t>
  </si>
  <si>
    <t>AVERAGE PROFIT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</si>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</sst>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&quot;₹&quot;\ #,##0.0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3"/>
      <name val="Calibri"/>
      <family val="2"/>
    </font>
    <font>
      <sz val="8"/>
      <name val="Calibri"/>
      <family val="2"/>
      <scheme val="minor"/>
    </font>
    <font>
      <b/>
      <sz val="11"/>
      <color theme="5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theme="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rgb="FF3C78D8"/>
      </patternFill>
    </fill>
    <fill>
      <patternFill patternType="solid">
        <fgColor theme="7" tint="0.39997558519241921"/>
        <bgColor rgb="FF3C78D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3" borderId="0" applyNumberFormat="0" applyBorder="0" applyAlignment="0" applyProtection="0"/>
    <xf numFmtId="0" fontId="1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</cellStyleXfs>
  <cellXfs count="44">
    <xf numFmtId="0" fontId="0" fillId="0" borderId="0" xfId="0" applyFont="1" applyAlignme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164" fontId="4" fillId="0" borderId="1" xfId="0" applyNumberFormat="1" applyFont="1" applyBorder="1"/>
    <xf numFmtId="166" fontId="0" fillId="0" borderId="0" xfId="0" applyNumberFormat="1" applyFont="1" applyAlignment="1"/>
    <xf numFmtId="0" fontId="6" fillId="0" borderId="0" xfId="0" applyFont="1" applyAlignment="1"/>
    <xf numFmtId="0" fontId="1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166" fontId="7" fillId="0" borderId="0" xfId="0" applyNumberFormat="1" applyFont="1" applyAlignment="1"/>
    <xf numFmtId="2" fontId="7" fillId="0" borderId="0" xfId="0" applyNumberFormat="1" applyFont="1" applyAlignment="1"/>
    <xf numFmtId="166" fontId="13" fillId="0" borderId="0" xfId="0" applyNumberFormat="1" applyFont="1" applyAlignment="1"/>
    <xf numFmtId="166" fontId="5" fillId="0" borderId="0" xfId="0" applyNumberFormat="1" applyFont="1" applyAlignment="1"/>
    <xf numFmtId="0" fontId="13" fillId="0" borderId="0" xfId="0" applyFont="1" applyAlignment="1"/>
    <xf numFmtId="0" fontId="14" fillId="2" borderId="1" xfId="0" applyFont="1" applyFill="1" applyBorder="1" applyAlignment="1">
      <alignment horizontal="center" vertical="top"/>
    </xf>
    <xf numFmtId="0" fontId="14" fillId="2" borderId="2" xfId="0" applyFont="1" applyFill="1" applyBorder="1" applyAlignment="1">
      <alignment horizontal="center" vertical="top"/>
    </xf>
    <xf numFmtId="0" fontId="14" fillId="7" borderId="2" xfId="0" applyFont="1" applyFill="1" applyBorder="1" applyAlignment="1">
      <alignment horizontal="center" vertical="top"/>
    </xf>
    <xf numFmtId="0" fontId="15" fillId="8" borderId="2" xfId="0" applyFont="1" applyFill="1" applyBorder="1" applyAlignment="1">
      <alignment horizontal="center" vertical="top"/>
    </xf>
    <xf numFmtId="0" fontId="0" fillId="0" borderId="0" xfId="0" applyNumberFormat="1" applyFont="1" applyAlignment="1"/>
    <xf numFmtId="0" fontId="7" fillId="9" borderId="0" xfId="0" applyFont="1" applyFill="1" applyAlignment="1"/>
    <xf numFmtId="0" fontId="0" fillId="0" borderId="0" xfId="0" applyFont="1" applyAlignment="1">
      <alignment horizontal="center"/>
    </xf>
    <xf numFmtId="0" fontId="17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3" fillId="0" borderId="3" xfId="0" applyFont="1" applyBorder="1"/>
    <xf numFmtId="0" fontId="0" fillId="0" borderId="4" xfId="0" applyFont="1" applyBorder="1" applyAlignment="1"/>
    <xf numFmtId="0" fontId="7" fillId="0" borderId="4" xfId="0" applyFont="1" applyBorder="1" applyAlignment="1"/>
    <xf numFmtId="0" fontId="12" fillId="0" borderId="0" xfId="0" applyFont="1" applyAlignment="1"/>
    <xf numFmtId="0" fontId="7" fillId="10" borderId="0" xfId="0" applyFont="1" applyFill="1" applyAlignment="1"/>
    <xf numFmtId="0" fontId="7" fillId="11" borderId="0" xfId="0" applyFont="1" applyFill="1" applyAlignment="1"/>
    <xf numFmtId="0" fontId="1" fillId="11" borderId="0" xfId="0" applyFont="1" applyFill="1" applyAlignment="1"/>
    <xf numFmtId="0" fontId="8" fillId="5" borderId="4" xfId="3" applyBorder="1" applyAlignment="1"/>
    <xf numFmtId="0" fontId="8" fillId="5" borderId="0" xfId="3" applyAlignment="1"/>
    <xf numFmtId="0" fontId="8" fillId="12" borderId="4" xfId="3" applyFill="1" applyBorder="1" applyAlignment="1"/>
    <xf numFmtId="0" fontId="9" fillId="12" borderId="4" xfId="3" applyFont="1" applyFill="1" applyBorder="1" applyAlignment="1"/>
    <xf numFmtId="0" fontId="12" fillId="12" borderId="4" xfId="3" applyFont="1" applyFill="1" applyBorder="1" applyAlignment="1"/>
    <xf numFmtId="0" fontId="1" fillId="4" borderId="0" xfId="2" applyAlignment="1"/>
    <xf numFmtId="166" fontId="1" fillId="4" borderId="0" xfId="2" applyNumberFormat="1" applyAlignment="1"/>
    <xf numFmtId="0" fontId="1" fillId="12" borderId="0" xfId="2" applyFill="1" applyAlignment="1"/>
    <xf numFmtId="166" fontId="8" fillId="3" borderId="0" xfId="1" applyNumberFormat="1" applyAlignment="1"/>
    <xf numFmtId="0" fontId="8" fillId="12" borderId="0" xfId="1" applyFill="1" applyAlignment="1"/>
    <xf numFmtId="0" fontId="1" fillId="6" borderId="0" xfId="4" applyAlignment="1"/>
    <xf numFmtId="166" fontId="1" fillId="6" borderId="0" xfId="4" applyNumberFormat="1" applyAlignment="1"/>
  </cellXfs>
  <cellStyles count="5">
    <cellStyle name="60% - Accent3" xfId="2" builtinId="40"/>
    <cellStyle name="60% - Accent6" xfId="4" builtinId="52"/>
    <cellStyle name="Accent2" xfId="1" builtinId="33"/>
    <cellStyle name="Accent4" xfId="3" builtinId="41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3C78D8"/>
          <bgColor rgb="FF3C78D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thin">
          <color rgb="FF000000"/>
        </left>
      </border>
    </dxf>
    <dxf>
      <alignment horizontal="general" vertical="bottom" textRotation="0" wrapText="0" indent="0" justifyLastLine="0" shrinkToFit="0" readingOrder="0"/>
    </dxf>
    <dxf>
      <numFmt numFmtId="166" formatCode="&quot;₹&quot;\ #,##0.00"/>
      <alignment horizontal="general" vertical="bottom" textRotation="0" wrapText="0" indent="0" justifyLastLine="0" shrinkToFit="0" readingOrder="0"/>
    </dxf>
    <dxf>
      <numFmt numFmtId="166" formatCode="&quot;₹&quot;\ #,##0.00"/>
      <alignment horizontal="general" vertical="bottom" textRotation="0" wrapText="0" indent="0" justifyLastLine="0" shrinkToFit="0" readingOrder="0"/>
    </dxf>
    <dxf>
      <numFmt numFmtId="166" formatCode="&quot;₹&quot;\ #,##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8BC076A-1656-4E5C-A12C-3AD765D86AE4}" name="Table13" displayName="Table13" ref="Q1:Z1001" totalsRowShown="0" headerRowDxfId="0" tableBorderDxfId="1">
  <autoFilter ref="Q1:Z1001" xr:uid="{E8BC076A-1656-4E5C-A12C-3AD765D86AE4}"/>
  <tableColumns count="10">
    <tableColumn id="1" xr3:uid="{285D0863-B218-4629-959B-09DCCFE3503C}" name="Orders">
      <calculatedColumnFormula>RIGHT(A2,"4")</calculatedColumnFormula>
    </tableColumn>
    <tableColumn id="2" xr3:uid="{A5481DF1-1652-459D-9E4E-C8529EA2C8DF}" name="HIGH VALUE/LOW">
      <calculatedColumnFormula>IF('RETAIL SALES DATA.'!H2&gt;AVERAGE('RETAIL SALES DATA.'!H2:H1001),"HIGHEST VALUE","LOWEST VALUE")</calculatedColumnFormula>
    </tableColumn>
    <tableColumn id="3" xr3:uid="{5840B331-5150-4FF6-8884-9A7DD4AF9245}" name="P/L">
      <calculatedColumnFormula>IF(J2&gt;0,"Profit","Loss")</calculatedColumnFormula>
    </tableColumn>
    <tableColumn id="4" xr3:uid="{47ECFE2D-B746-4CBC-BB4D-6AB4565186B8}" name="CUSTOMER NAME">
      <calculatedColumnFormula>PROPER(B2)</calculatedColumnFormula>
    </tableColumn>
    <tableColumn id="5" xr3:uid="{89F57617-ECC0-40D8-B857-0B772D130D3B}" name="PRUDUCT">
      <calculatedColumnFormula>PROPER(C2)</calculatedColumnFormula>
    </tableColumn>
    <tableColumn id="6" xr3:uid="{71C44608-E543-486A-AAC6-8894B2AF9AB5}" name="YEAR">
      <calculatedColumnFormula>YEAR(K2)</calculatedColumnFormula>
    </tableColumn>
    <tableColumn id="7" xr3:uid="{67D5EA19-738F-4E60-840F-F0A86B16DA92}" name="MONTH">
      <calculatedColumnFormula>MONTH(L2)</calculatedColumnFormula>
    </tableColumn>
    <tableColumn id="8" xr3:uid="{91B63FF3-7F7A-48A2-9A01-B349B5CA66C4}" name="DAY">
      <calculatedColumnFormula>DAY(K2)</calculatedColumnFormula>
    </tableColumn>
    <tableColumn id="9" xr3:uid="{F009F9BB-59C8-4D34-B488-1FDDC4B3BB09}" name="MONTH2">
      <calculatedColumnFormula>TEXT(K2,"MMM")</calculatedColumnFormula>
    </tableColumn>
    <tableColumn id="10" xr3:uid="{D62659C6-2BEA-4FB9-AD98-4A87D2626533}" name="DELIVERY DATE">
      <calculatedColumnFormula>L2-K2</calculatedColumnFormula>
    </tableColumn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3157CD-58C5-4957-A354-0A782E7A1F3F}" name="Table4" displayName="Table4" ref="B19:D21" totalsRowShown="0" headerRowCellStyle="60% - Accent3" dataCellStyle="60% - Accent3">
  <autoFilter ref="B19:D21" xr:uid="{403157CD-58C5-4957-A354-0A782E7A1F3F}"/>
  <tableColumns count="3">
    <tableColumn id="1" xr3:uid="{B5880E39-C5C0-4A61-BE66-8EC9E0F5FA5D}" name="CATEGORY" dataDxfId="6" dataCellStyle="60% - Accent3"/>
    <tableColumn id="2" xr3:uid="{C157CA19-0116-4BF2-8D4C-ABA1CBBD1FC2}" name="HIGH" dataDxfId="5" dataCellStyle="60% - Accent3"/>
    <tableColumn id="3" xr3:uid="{286EA434-E1E9-4A97-BA2E-C5F69DA9B66B}" name="LOW" dataCellStyle="60% - Accent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C7E720-B112-466F-8A45-2C7AFEF832B1}" name="Table8" displayName="Table8" ref="B27:C28" totalsRowShown="0" dataDxfId="2" headerRowCellStyle="Accent2" dataCellStyle="Accent2">
  <autoFilter ref="B27:C28" xr:uid="{8CC7E720-B112-466F-8A45-2C7AFEF832B1}"/>
  <tableColumns count="2">
    <tableColumn id="1" xr3:uid="{FEB4F557-0654-42B5-8252-1B2EC9B3CD07}" name="AVERAGE PROFIT" dataDxfId="4" dataCellStyle="Accent2">
      <calculatedColumnFormula>AVERAGE('RETAIL SALES DATA.'!J2:J1001)</calculatedColumnFormula>
    </tableColumn>
    <tableColumn id="2" xr3:uid="{2DD21BDA-D8C8-433F-B1D8-B70A14625F35}" name="AVERAGE SALES" dataDxfId="3" dataCellStyle="Accent2">
      <calculatedColumnFormula>AVERAGE('RETAIL SALES DATA.'!H2:H1001)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94"/>
  <sheetViews>
    <sheetView topLeftCell="N1" zoomScale="70" zoomScaleNormal="70" workbookViewId="0">
      <selection activeCell="AF37" sqref="AF37"/>
    </sheetView>
  </sheetViews>
  <sheetFormatPr defaultColWidth="14.44140625" defaultRowHeight="15" customHeight="1" x14ac:dyDescent="0.3"/>
  <cols>
    <col min="1" max="1" width="9.109375" customWidth="1"/>
    <col min="2" max="2" width="26" customWidth="1"/>
    <col min="3" max="3" width="14.109375" customWidth="1"/>
    <col min="4" max="4" width="16.6640625" customWidth="1"/>
    <col min="5" max="5" width="7.109375" customWidth="1"/>
    <col min="6" max="6" width="14.33203125" customWidth="1"/>
    <col min="7" max="7" width="10.33203125" customWidth="1"/>
    <col min="8" max="8" width="13.6640625" customWidth="1"/>
    <col min="9" max="10" width="9.109375" customWidth="1"/>
    <col min="11" max="11" width="14.44140625" bestFit="1" customWidth="1"/>
    <col min="12" max="12" width="13.44140625" customWidth="1"/>
    <col min="13" max="13" width="15.88671875" customWidth="1"/>
    <col min="14" max="14" width="16.109375" customWidth="1"/>
    <col min="15" max="15" width="11.109375" customWidth="1"/>
    <col min="16" max="16" width="14.5546875" customWidth="1"/>
    <col min="17" max="17" width="9" customWidth="1"/>
    <col min="18" max="18" width="18.77734375" customWidth="1"/>
    <col min="19" max="19" width="6.44140625" bestFit="1" customWidth="1"/>
    <col min="20" max="20" width="30.6640625" bestFit="1" customWidth="1"/>
    <col min="21" max="21" width="21.5546875" bestFit="1" customWidth="1"/>
    <col min="22" max="22" width="9.77734375" bestFit="1" customWidth="1"/>
    <col min="23" max="23" width="14.44140625" bestFit="1" customWidth="1"/>
    <col min="24" max="24" width="8.6640625" customWidth="1"/>
    <col min="25" max="25" width="11" customWidth="1"/>
    <col min="26" max="26" width="16" customWidth="1"/>
    <col min="27" max="27" width="8.6640625" customWidth="1"/>
    <col min="29" max="29" width="23.88671875" bestFit="1" customWidth="1"/>
    <col min="30" max="30" width="10" customWidth="1"/>
  </cols>
  <sheetData>
    <row r="1" spans="1:3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4" t="s">
        <v>15</v>
      </c>
      <c r="Q1" s="23" t="s">
        <v>2295</v>
      </c>
      <c r="R1" s="16" t="s">
        <v>2299</v>
      </c>
      <c r="S1" s="16" t="s">
        <v>2296</v>
      </c>
      <c r="T1" s="18" t="s">
        <v>2306</v>
      </c>
      <c r="U1" s="19" t="s">
        <v>2308</v>
      </c>
      <c r="V1" s="17" t="s">
        <v>2309</v>
      </c>
      <c r="W1" s="17" t="s">
        <v>2310</v>
      </c>
      <c r="X1" s="17" t="s">
        <v>2311</v>
      </c>
      <c r="Y1" s="17" t="s">
        <v>2329</v>
      </c>
      <c r="Z1" s="17" t="s">
        <v>2328</v>
      </c>
    </row>
    <row r="2" spans="1:36" ht="14.4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>
        <v>4</v>
      </c>
      <c r="G2" s="2">
        <v>1578.68</v>
      </c>
      <c r="H2" s="2">
        <v>6314.72</v>
      </c>
      <c r="I2" s="2">
        <v>4409.1400000000003</v>
      </c>
      <c r="J2" s="2">
        <v>1905.58</v>
      </c>
      <c r="K2" s="3">
        <v>45913</v>
      </c>
      <c r="L2" s="3">
        <v>45922</v>
      </c>
      <c r="M2" s="2" t="s">
        <v>21</v>
      </c>
      <c r="N2" s="2">
        <v>5</v>
      </c>
      <c r="O2" s="2" t="s">
        <v>22</v>
      </c>
      <c r="P2" s="25">
        <v>8.9</v>
      </c>
      <c r="Q2" t="str">
        <f>RIGHT(A2,"4")</f>
        <v>0001</v>
      </c>
      <c r="R2" t="str">
        <f>IF('RETAIL SALES DATA.'!H2&gt;AVERAGE('RETAIL SALES DATA.'!H2:H1001),"HIGHEST VALUE","LOWEST VALUE")</f>
        <v>LOWEST VALUE</v>
      </c>
      <c r="S2" t="str">
        <f>IF(J2&gt;0,"Profit","Loss")</f>
        <v>Profit</v>
      </c>
      <c r="T2" t="str">
        <f>PROPER(B2)</f>
        <v>Michael Winters</v>
      </c>
      <c r="U2" t="str">
        <f>PROPER(C2)</f>
        <v>Pen</v>
      </c>
      <c r="V2">
        <f>YEAR(K2)</f>
        <v>2025</v>
      </c>
      <c r="W2" s="20">
        <f>MONTH(L2)</f>
        <v>9</v>
      </c>
      <c r="X2">
        <f>DAY(K2)</f>
        <v>13</v>
      </c>
      <c r="Y2" t="str">
        <f>TEXT(K2,"MMM")</f>
        <v>Sep</v>
      </c>
      <c r="Z2">
        <f>L2-K2</f>
        <v>9</v>
      </c>
    </row>
    <row r="3" spans="1:36" ht="14.4" x14ac:dyDescent="0.3">
      <c r="A3" s="2" t="s">
        <v>23</v>
      </c>
      <c r="B3" s="2" t="s">
        <v>24</v>
      </c>
      <c r="C3" s="2" t="s">
        <v>18</v>
      </c>
      <c r="D3" s="2" t="s">
        <v>19</v>
      </c>
      <c r="E3" s="2" t="s">
        <v>25</v>
      </c>
      <c r="F3" s="2">
        <v>18</v>
      </c>
      <c r="G3" s="2">
        <v>1427.85</v>
      </c>
      <c r="H3" s="2">
        <v>25701.3</v>
      </c>
      <c r="I3" s="2">
        <v>15663.81</v>
      </c>
      <c r="J3" s="2">
        <v>10037.49</v>
      </c>
      <c r="K3" s="3">
        <v>46023</v>
      </c>
      <c r="L3" s="3">
        <v>46026</v>
      </c>
      <c r="M3" s="2" t="s">
        <v>26</v>
      </c>
      <c r="N3" s="2">
        <v>1</v>
      </c>
      <c r="O3" s="2" t="s">
        <v>27</v>
      </c>
      <c r="P3" s="25">
        <v>8.6</v>
      </c>
      <c r="Q3" t="str">
        <f t="shared" ref="Q3:Q66" si="0">RIGHT(A3,"4")</f>
        <v>0002</v>
      </c>
      <c r="R3" t="str">
        <f>IF('RETAIL SALES DATA.'!H3&gt;AVERAGE('RETAIL SALES DATA.'!H3:H1002),"HIGHEST VALUE","LOWEST VALUE")</f>
        <v>LOWEST VALUE</v>
      </c>
      <c r="S3" t="str">
        <f t="shared" ref="S3:S66" si="1">IF(J3&gt;0,"Profit","Loss")</f>
        <v>Profit</v>
      </c>
      <c r="T3" t="str">
        <f t="shared" ref="T3:T66" si="2">PROPER(B3)</f>
        <v>James Olson</v>
      </c>
      <c r="U3" t="str">
        <f t="shared" ref="U3:U66" si="3">PROPER(C3)</f>
        <v>Pen</v>
      </c>
      <c r="V3">
        <f t="shared" ref="V3:V66" si="4">YEAR(K3)</f>
        <v>2026</v>
      </c>
      <c r="W3">
        <f t="shared" ref="W3:W66" si="5">MONTH(L3)</f>
        <v>1</v>
      </c>
      <c r="X3">
        <f t="shared" ref="X3:X66" si="6">DAY(K3)</f>
        <v>1</v>
      </c>
      <c r="Y3" t="str">
        <f t="shared" ref="Y3:Y66" si="7">TEXT(K3,"MMM")</f>
        <v>Jan</v>
      </c>
      <c r="Z3">
        <f t="shared" ref="Z3:Z66" si="8">L3-K3</f>
        <v>3</v>
      </c>
    </row>
    <row r="4" spans="1:36" ht="14.4" x14ac:dyDescent="0.3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>
        <v>18</v>
      </c>
      <c r="G4" s="2">
        <v>3667.53</v>
      </c>
      <c r="H4" s="2">
        <v>66015.539999999994</v>
      </c>
      <c r="I4" s="2">
        <v>41337.25</v>
      </c>
      <c r="J4" s="2">
        <v>24678.29</v>
      </c>
      <c r="K4" s="3">
        <v>46152</v>
      </c>
      <c r="L4" s="3">
        <v>46161</v>
      </c>
      <c r="M4" s="2" t="s">
        <v>33</v>
      </c>
      <c r="N4" s="2">
        <v>5</v>
      </c>
      <c r="O4" s="2" t="s">
        <v>34</v>
      </c>
      <c r="P4" s="25">
        <v>7.3</v>
      </c>
      <c r="Q4" t="str">
        <f t="shared" si="0"/>
        <v>0003</v>
      </c>
      <c r="R4" t="str">
        <f>IF('RETAIL SALES DATA.'!H4&gt;AVERAGE('RETAIL SALES DATA.'!H4:H1003),"HIGHEST VALUE","LOWEST VALUE")</f>
        <v>HIGHEST VALUE</v>
      </c>
      <c r="S4" t="str">
        <f t="shared" si="1"/>
        <v>Profit</v>
      </c>
      <c r="T4" t="str">
        <f t="shared" si="2"/>
        <v>Brittney Simmons</v>
      </c>
      <c r="U4" t="str">
        <f t="shared" si="3"/>
        <v>Desk</v>
      </c>
      <c r="V4">
        <f t="shared" si="4"/>
        <v>2026</v>
      </c>
      <c r="W4">
        <f t="shared" si="5"/>
        <v>5</v>
      </c>
      <c r="X4">
        <f t="shared" si="6"/>
        <v>10</v>
      </c>
      <c r="Y4" t="str">
        <f t="shared" si="7"/>
        <v>May</v>
      </c>
      <c r="Z4">
        <f t="shared" si="8"/>
        <v>9</v>
      </c>
    </row>
    <row r="5" spans="1:36" ht="14.4" x14ac:dyDescent="0.3">
      <c r="A5" s="2" t="s">
        <v>35</v>
      </c>
      <c r="B5" s="2" t="s">
        <v>36</v>
      </c>
      <c r="C5" s="2" t="s">
        <v>37</v>
      </c>
      <c r="D5" s="2" t="s">
        <v>19</v>
      </c>
      <c r="E5" s="2" t="s">
        <v>25</v>
      </c>
      <c r="F5" s="2">
        <v>1</v>
      </c>
      <c r="G5" s="2">
        <v>3550.31</v>
      </c>
      <c r="H5" s="2">
        <v>3550.31</v>
      </c>
      <c r="I5" s="2">
        <v>2061.79</v>
      </c>
      <c r="J5" s="2">
        <v>1488.52</v>
      </c>
      <c r="K5" s="3">
        <v>45483</v>
      </c>
      <c r="L5" s="3">
        <v>45491</v>
      </c>
      <c r="M5" s="2" t="s">
        <v>38</v>
      </c>
      <c r="N5" s="2">
        <v>4</v>
      </c>
      <c r="O5" s="2" t="s">
        <v>39</v>
      </c>
      <c r="P5" s="25">
        <v>6.5</v>
      </c>
      <c r="Q5" t="str">
        <f t="shared" si="0"/>
        <v>0004</v>
      </c>
      <c r="R5" t="str">
        <f>IF('RETAIL SALES DATA.'!H5&gt;AVERAGE('RETAIL SALES DATA.'!H5:H1004),"HIGHEST VALUE","LOWEST VALUE")</f>
        <v>LOWEST VALUE</v>
      </c>
      <c r="S5" t="str">
        <f t="shared" si="1"/>
        <v>Profit</v>
      </c>
      <c r="T5" t="str">
        <f t="shared" si="2"/>
        <v>Courtney Park</v>
      </c>
      <c r="U5" t="str">
        <f t="shared" si="3"/>
        <v>Marker</v>
      </c>
      <c r="V5">
        <f t="shared" si="4"/>
        <v>2024</v>
      </c>
      <c r="W5">
        <f t="shared" si="5"/>
        <v>7</v>
      </c>
      <c r="X5">
        <f t="shared" si="6"/>
        <v>10</v>
      </c>
      <c r="Y5" t="str">
        <f t="shared" si="7"/>
        <v>Jul</v>
      </c>
      <c r="Z5">
        <f t="shared" si="8"/>
        <v>8</v>
      </c>
    </row>
    <row r="6" spans="1:36" ht="14.4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>
        <v>13</v>
      </c>
      <c r="G6" s="2">
        <v>1838.36</v>
      </c>
      <c r="H6" s="2">
        <v>23898.68</v>
      </c>
      <c r="I6" s="2">
        <v>17283.830000000002</v>
      </c>
      <c r="J6" s="2">
        <v>6614.85</v>
      </c>
      <c r="K6" s="3">
        <v>46052</v>
      </c>
      <c r="L6" s="3">
        <v>46062</v>
      </c>
      <c r="M6" s="2" t="s">
        <v>45</v>
      </c>
      <c r="N6" s="2">
        <v>1</v>
      </c>
      <c r="O6" s="2" t="s">
        <v>46</v>
      </c>
      <c r="P6" s="25">
        <v>8.6999999999999993</v>
      </c>
      <c r="Q6" t="str">
        <f t="shared" si="0"/>
        <v>0005</v>
      </c>
      <c r="R6" t="str">
        <f>IF('RETAIL SALES DATA.'!H6&gt;AVERAGE('RETAIL SALES DATA.'!H6:H1005),"HIGHEST VALUE","LOWEST VALUE")</f>
        <v>LOWEST VALUE</v>
      </c>
      <c r="S6" t="str">
        <f t="shared" si="1"/>
        <v>Profit</v>
      </c>
      <c r="T6" t="str">
        <f t="shared" si="2"/>
        <v>Chloe Villa</v>
      </c>
      <c r="U6" t="str">
        <f t="shared" si="3"/>
        <v>Laptop</v>
      </c>
      <c r="V6">
        <f t="shared" si="4"/>
        <v>2026</v>
      </c>
      <c r="W6">
        <f t="shared" si="5"/>
        <v>2</v>
      </c>
      <c r="X6">
        <f t="shared" si="6"/>
        <v>30</v>
      </c>
      <c r="Y6" t="str">
        <f t="shared" si="7"/>
        <v>Jan</v>
      </c>
      <c r="Z6">
        <f t="shared" si="8"/>
        <v>10</v>
      </c>
    </row>
    <row r="7" spans="1:36" ht="14.4" x14ac:dyDescent="0.3">
      <c r="A7" s="2" t="s">
        <v>47</v>
      </c>
      <c r="B7" s="2" t="s">
        <v>48</v>
      </c>
      <c r="C7" s="2" t="s">
        <v>49</v>
      </c>
      <c r="D7" s="2" t="s">
        <v>43</v>
      </c>
      <c r="E7" s="2" t="s">
        <v>32</v>
      </c>
      <c r="F7" s="2">
        <v>1</v>
      </c>
      <c r="G7" s="2">
        <v>4093.77</v>
      </c>
      <c r="H7" s="2">
        <v>4093.77</v>
      </c>
      <c r="I7" s="2">
        <v>2721.22</v>
      </c>
      <c r="J7" s="2">
        <v>1372.55</v>
      </c>
      <c r="K7" s="3">
        <v>45502</v>
      </c>
      <c r="L7" s="3">
        <v>45505</v>
      </c>
      <c r="M7" s="2" t="s">
        <v>50</v>
      </c>
      <c r="N7" s="2">
        <v>1</v>
      </c>
      <c r="O7" s="2" t="s">
        <v>51</v>
      </c>
      <c r="P7" s="25">
        <v>8.6</v>
      </c>
      <c r="Q7" t="str">
        <f t="shared" si="0"/>
        <v>0006</v>
      </c>
      <c r="R7" t="str">
        <f>IF('RETAIL SALES DATA.'!H7&gt;AVERAGE('RETAIL SALES DATA.'!H7:H1006),"HIGHEST VALUE","LOWEST VALUE")</f>
        <v>LOWEST VALUE</v>
      </c>
      <c r="S7" t="str">
        <f t="shared" si="1"/>
        <v>Profit</v>
      </c>
      <c r="T7" t="str">
        <f t="shared" si="2"/>
        <v>Erin Ross</v>
      </c>
      <c r="U7" t="str">
        <f t="shared" si="3"/>
        <v>Mouse</v>
      </c>
      <c r="V7">
        <f t="shared" si="4"/>
        <v>2024</v>
      </c>
      <c r="W7">
        <f t="shared" si="5"/>
        <v>8</v>
      </c>
      <c r="X7">
        <f t="shared" si="6"/>
        <v>29</v>
      </c>
      <c r="Y7" t="str">
        <f t="shared" si="7"/>
        <v>Jul</v>
      </c>
      <c r="Z7">
        <f t="shared" si="8"/>
        <v>3</v>
      </c>
    </row>
    <row r="8" spans="1:36" ht="14.4" x14ac:dyDescent="0.3">
      <c r="A8" s="2" t="s">
        <v>52</v>
      </c>
      <c r="B8" s="2" t="s">
        <v>53</v>
      </c>
      <c r="C8" s="2" t="s">
        <v>42</v>
      </c>
      <c r="D8" s="2" t="s">
        <v>43</v>
      </c>
      <c r="E8" s="2" t="s">
        <v>32</v>
      </c>
      <c r="F8" s="2">
        <v>17</v>
      </c>
      <c r="G8" s="2">
        <v>2540.86</v>
      </c>
      <c r="H8" s="2">
        <v>43194.62</v>
      </c>
      <c r="I8" s="2">
        <v>22584.560000000001</v>
      </c>
      <c r="J8" s="2">
        <v>20610.060000000001</v>
      </c>
      <c r="K8" s="3">
        <v>45494</v>
      </c>
      <c r="L8" s="3">
        <v>45498</v>
      </c>
      <c r="M8" s="2" t="s">
        <v>21</v>
      </c>
      <c r="N8" s="2">
        <v>1</v>
      </c>
      <c r="O8" s="2" t="s">
        <v>54</v>
      </c>
      <c r="P8" s="25">
        <v>8.9</v>
      </c>
      <c r="Q8" t="str">
        <f t="shared" si="0"/>
        <v>0007</v>
      </c>
      <c r="R8" t="str">
        <f>IF('RETAIL SALES DATA.'!H8&gt;AVERAGE('RETAIL SALES DATA.'!H8:H1007),"HIGHEST VALUE","LOWEST VALUE")</f>
        <v>HIGHEST VALUE</v>
      </c>
      <c r="S8" t="str">
        <f t="shared" si="1"/>
        <v>Profit</v>
      </c>
      <c r="T8" t="str">
        <f t="shared" si="2"/>
        <v>Ryan Brown</v>
      </c>
      <c r="U8" t="str">
        <f t="shared" si="3"/>
        <v>Laptop</v>
      </c>
      <c r="V8">
        <f t="shared" si="4"/>
        <v>2024</v>
      </c>
      <c r="W8">
        <f t="shared" si="5"/>
        <v>7</v>
      </c>
      <c r="X8">
        <f t="shared" si="6"/>
        <v>21</v>
      </c>
      <c r="Y8" t="str">
        <f t="shared" si="7"/>
        <v>Jul</v>
      </c>
      <c r="Z8">
        <f t="shared" si="8"/>
        <v>4</v>
      </c>
    </row>
    <row r="9" spans="1:36" ht="14.4" x14ac:dyDescent="0.3">
      <c r="A9" s="2" t="s">
        <v>55</v>
      </c>
      <c r="B9" s="2" t="s">
        <v>56</v>
      </c>
      <c r="C9" s="2" t="s">
        <v>57</v>
      </c>
      <c r="D9" s="2" t="s">
        <v>19</v>
      </c>
      <c r="E9" s="2" t="s">
        <v>44</v>
      </c>
      <c r="F9" s="2">
        <v>12</v>
      </c>
      <c r="G9" s="2">
        <v>4957.92</v>
      </c>
      <c r="H9" s="2">
        <v>59495.040000000001</v>
      </c>
      <c r="I9" s="2">
        <v>49409.66</v>
      </c>
      <c r="J9" s="2">
        <v>10085.379999999999</v>
      </c>
      <c r="K9" s="3">
        <v>46147</v>
      </c>
      <c r="L9" s="3">
        <v>46150</v>
      </c>
      <c r="M9" s="2" t="s">
        <v>58</v>
      </c>
      <c r="N9" s="2">
        <v>2</v>
      </c>
      <c r="O9" s="2" t="s">
        <v>59</v>
      </c>
      <c r="P9" s="25">
        <v>8</v>
      </c>
      <c r="Q9" t="str">
        <f t="shared" si="0"/>
        <v>0008</v>
      </c>
      <c r="R9" t="str">
        <f>IF('RETAIL SALES DATA.'!H9&gt;AVERAGE('RETAIL SALES DATA.'!H9:H1008),"HIGHEST VALUE","LOWEST VALUE")</f>
        <v>HIGHEST VALUE</v>
      </c>
      <c r="S9" t="str">
        <f t="shared" si="1"/>
        <v>Profit</v>
      </c>
      <c r="T9" t="str">
        <f t="shared" si="2"/>
        <v>Keith Winters</v>
      </c>
      <c r="U9" t="str">
        <f t="shared" si="3"/>
        <v>Notebook</v>
      </c>
      <c r="V9">
        <f t="shared" si="4"/>
        <v>2026</v>
      </c>
      <c r="W9">
        <f t="shared" si="5"/>
        <v>5</v>
      </c>
      <c r="X9">
        <f t="shared" si="6"/>
        <v>5</v>
      </c>
      <c r="Y9" t="str">
        <f t="shared" si="7"/>
        <v>May</v>
      </c>
      <c r="Z9">
        <f t="shared" si="8"/>
        <v>3</v>
      </c>
    </row>
    <row r="10" spans="1:36" ht="14.4" x14ac:dyDescent="0.3">
      <c r="A10" s="2" t="s">
        <v>60</v>
      </c>
      <c r="B10" s="2" t="s">
        <v>61</v>
      </c>
      <c r="C10" s="2" t="s">
        <v>62</v>
      </c>
      <c r="D10" s="2" t="s">
        <v>31</v>
      </c>
      <c r="E10" s="2" t="s">
        <v>44</v>
      </c>
      <c r="F10" s="2">
        <v>2</v>
      </c>
      <c r="G10" s="2">
        <v>3280.82</v>
      </c>
      <c r="H10" s="2">
        <v>6561.64</v>
      </c>
      <c r="I10" s="2">
        <v>5871.1</v>
      </c>
      <c r="J10" s="2">
        <v>690.54</v>
      </c>
      <c r="K10" s="3">
        <v>45607</v>
      </c>
      <c r="L10" s="3">
        <v>45610</v>
      </c>
      <c r="M10" s="2" t="s">
        <v>38</v>
      </c>
      <c r="N10" s="2">
        <v>1</v>
      </c>
      <c r="O10" s="2" t="s">
        <v>63</v>
      </c>
      <c r="P10" s="25">
        <v>6.6</v>
      </c>
      <c r="Q10" t="str">
        <f t="shared" si="0"/>
        <v>0009</v>
      </c>
      <c r="R10" t="str">
        <f>IF('RETAIL SALES DATA.'!H10&gt;AVERAGE('RETAIL SALES DATA.'!H10:H1009),"HIGHEST VALUE","LOWEST VALUE")</f>
        <v>LOWEST VALUE</v>
      </c>
      <c r="S10" t="str">
        <f t="shared" si="1"/>
        <v>Profit</v>
      </c>
      <c r="T10" t="str">
        <f t="shared" si="2"/>
        <v>Richard Payne</v>
      </c>
      <c r="U10" t="str">
        <f t="shared" si="3"/>
        <v>Table</v>
      </c>
      <c r="V10">
        <f t="shared" si="4"/>
        <v>2024</v>
      </c>
      <c r="W10">
        <f t="shared" si="5"/>
        <v>11</v>
      </c>
      <c r="X10">
        <f t="shared" si="6"/>
        <v>11</v>
      </c>
      <c r="Y10" t="str">
        <f t="shared" si="7"/>
        <v>Nov</v>
      </c>
      <c r="Z10">
        <f t="shared" si="8"/>
        <v>3</v>
      </c>
    </row>
    <row r="11" spans="1:36" ht="14.4" x14ac:dyDescent="0.3">
      <c r="A11" s="2" t="s">
        <v>64</v>
      </c>
      <c r="B11" s="2" t="s">
        <v>65</v>
      </c>
      <c r="C11" s="2" t="s">
        <v>18</v>
      </c>
      <c r="D11" s="2" t="s">
        <v>19</v>
      </c>
      <c r="E11" s="2" t="s">
        <v>25</v>
      </c>
      <c r="F11" s="2">
        <v>14</v>
      </c>
      <c r="G11" s="2">
        <v>1988.47</v>
      </c>
      <c r="H11" s="2">
        <v>27838.58</v>
      </c>
      <c r="I11" s="2">
        <v>19080.73</v>
      </c>
      <c r="J11" s="2">
        <v>8757.85</v>
      </c>
      <c r="K11" s="3">
        <v>45712</v>
      </c>
      <c r="L11" s="3">
        <v>45716</v>
      </c>
      <c r="M11" s="2" t="s">
        <v>21</v>
      </c>
      <c r="N11" s="2">
        <v>2</v>
      </c>
      <c r="O11" s="2" t="s">
        <v>66</v>
      </c>
      <c r="P11" s="25">
        <v>9.4</v>
      </c>
      <c r="Q11" t="str">
        <f t="shared" si="0"/>
        <v>0010</v>
      </c>
      <c r="R11" t="str">
        <f>IF('RETAIL SALES DATA.'!H11&gt;AVERAGE('RETAIL SALES DATA.'!H11:H1010),"HIGHEST VALUE","LOWEST VALUE")</f>
        <v>HIGHEST VALUE</v>
      </c>
      <c r="S11" t="str">
        <f t="shared" si="1"/>
        <v>Profit</v>
      </c>
      <c r="T11" t="str">
        <f t="shared" si="2"/>
        <v>Cory Roberson</v>
      </c>
      <c r="U11" t="str">
        <f t="shared" si="3"/>
        <v>Pen</v>
      </c>
      <c r="V11">
        <f t="shared" si="4"/>
        <v>2025</v>
      </c>
      <c r="W11">
        <f t="shared" si="5"/>
        <v>2</v>
      </c>
      <c r="X11">
        <f t="shared" si="6"/>
        <v>24</v>
      </c>
      <c r="Y11" t="str">
        <f t="shared" si="7"/>
        <v>Feb</v>
      </c>
      <c r="Z11">
        <f t="shared" si="8"/>
        <v>4</v>
      </c>
      <c r="AB11" t="s">
        <v>2310</v>
      </c>
      <c r="AC11" s="22">
        <v>2025</v>
      </c>
      <c r="AD11" s="22">
        <v>2024</v>
      </c>
      <c r="AE11" s="22">
        <v>2026</v>
      </c>
    </row>
    <row r="12" spans="1:36" ht="14.4" x14ac:dyDescent="0.3">
      <c r="A12" s="2" t="s">
        <v>67</v>
      </c>
      <c r="B12" s="2" t="s">
        <v>68</v>
      </c>
      <c r="C12" s="2" t="s">
        <v>30</v>
      </c>
      <c r="D12" s="2" t="s">
        <v>31</v>
      </c>
      <c r="E12" s="2" t="s">
        <v>25</v>
      </c>
      <c r="F12" s="2">
        <v>15</v>
      </c>
      <c r="G12" s="2">
        <v>991.66</v>
      </c>
      <c r="H12" s="2">
        <v>14874.9</v>
      </c>
      <c r="I12" s="2">
        <v>11249.49</v>
      </c>
      <c r="J12" s="2">
        <v>3625.41</v>
      </c>
      <c r="K12" s="3">
        <v>45628</v>
      </c>
      <c r="L12" s="3">
        <v>45634</v>
      </c>
      <c r="M12" s="2" t="s">
        <v>69</v>
      </c>
      <c r="N12" s="2">
        <v>5</v>
      </c>
      <c r="O12" s="2" t="s">
        <v>66</v>
      </c>
      <c r="P12" s="25">
        <v>9.5</v>
      </c>
      <c r="Q12" t="str">
        <f t="shared" si="0"/>
        <v>0011</v>
      </c>
      <c r="R12" t="str">
        <f>IF('RETAIL SALES DATA.'!H12&gt;AVERAGE('RETAIL SALES DATA.'!H12:H1011),"HIGHEST VALUE","LOWEST VALUE")</f>
        <v>LOWEST VALUE</v>
      </c>
      <c r="S12" t="str">
        <f t="shared" si="1"/>
        <v>Profit</v>
      </c>
      <c r="T12" t="str">
        <f t="shared" si="2"/>
        <v>Amanda Cox</v>
      </c>
      <c r="U12" t="str">
        <f t="shared" si="3"/>
        <v>Desk</v>
      </c>
      <c r="V12">
        <f t="shared" si="4"/>
        <v>2024</v>
      </c>
      <c r="W12">
        <f t="shared" si="5"/>
        <v>12</v>
      </c>
      <c r="X12">
        <f t="shared" si="6"/>
        <v>2</v>
      </c>
      <c r="Y12" t="str">
        <f t="shared" si="7"/>
        <v>Dec</v>
      </c>
      <c r="Z12">
        <f t="shared" si="8"/>
        <v>6</v>
      </c>
      <c r="AB12" t="s">
        <v>2316</v>
      </c>
      <c r="AC12">
        <f>SUMIFS($H$2:$H$1001,$Y$2:$Y$1001,AB12,$V$2:$V$1001,V986)</f>
        <v>931394.12000000011</v>
      </c>
      <c r="AD12">
        <f>SUMIFS($H$2:$H$1001,$Y$2:$Y$1001,AB12,$V$2:$V$1001,V990)</f>
        <v>0</v>
      </c>
      <c r="AE12">
        <f>SUMIFS($H$2:$H$1001,$Y$2:$Y$1001,AB12,$V$2:$V$1001,V3)</f>
        <v>1122389.6800000002</v>
      </c>
    </row>
    <row r="13" spans="1:36" ht="14.4" x14ac:dyDescent="0.3">
      <c r="A13" s="2" t="s">
        <v>70</v>
      </c>
      <c r="B13" s="2" t="s">
        <v>71</v>
      </c>
      <c r="C13" s="2" t="s">
        <v>72</v>
      </c>
      <c r="D13" s="2" t="s">
        <v>31</v>
      </c>
      <c r="E13" s="2" t="s">
        <v>20</v>
      </c>
      <c r="F13" s="2">
        <v>12</v>
      </c>
      <c r="G13" s="2">
        <v>4247.3</v>
      </c>
      <c r="H13" s="2">
        <v>50967.6</v>
      </c>
      <c r="I13" s="2">
        <v>39899.980000000003</v>
      </c>
      <c r="J13" s="2">
        <v>11067.62</v>
      </c>
      <c r="K13" s="3">
        <v>45786</v>
      </c>
      <c r="L13" s="3">
        <v>45795</v>
      </c>
      <c r="M13" s="2" t="s">
        <v>58</v>
      </c>
      <c r="N13" s="2">
        <v>3</v>
      </c>
      <c r="O13" s="2" t="s">
        <v>73</v>
      </c>
      <c r="P13" s="25">
        <v>6.8</v>
      </c>
      <c r="Q13" t="str">
        <f t="shared" si="0"/>
        <v>0012</v>
      </c>
      <c r="R13" t="str">
        <f>IF('RETAIL SALES DATA.'!H13&gt;AVERAGE('RETAIL SALES DATA.'!H13:H1012),"HIGHEST VALUE","LOWEST VALUE")</f>
        <v>HIGHEST VALUE</v>
      </c>
      <c r="S13" t="str">
        <f t="shared" si="1"/>
        <v>Profit</v>
      </c>
      <c r="T13" t="str">
        <f t="shared" si="2"/>
        <v>Joseph Allison</v>
      </c>
      <c r="U13" t="str">
        <f t="shared" si="3"/>
        <v>Chair</v>
      </c>
      <c r="V13">
        <f t="shared" si="4"/>
        <v>2025</v>
      </c>
      <c r="W13">
        <f t="shared" si="5"/>
        <v>5</v>
      </c>
      <c r="X13">
        <f t="shared" si="6"/>
        <v>9</v>
      </c>
      <c r="Y13" t="str">
        <f t="shared" si="7"/>
        <v>May</v>
      </c>
      <c r="Z13">
        <f t="shared" si="8"/>
        <v>9</v>
      </c>
      <c r="AB13" t="s">
        <v>2320</v>
      </c>
      <c r="AC13">
        <f>SUMIFS($H$2:$H$1001,$Y$2:$Y$1001,AB13,$V$2:$V$1001,V987)</f>
        <v>1188601.5</v>
      </c>
      <c r="AD13">
        <f>SUMIFS($H$2:$H$1001,$Y$2:$Y$1001,AB13,$V$2:$V$1001,V991)</f>
        <v>0</v>
      </c>
      <c r="AE13">
        <f>SUMIFS($H$2:$H$1001,$Y$2:$Y$1001,AB13,$V$2:$V$1001,V4)</f>
        <v>855184.88</v>
      </c>
    </row>
    <row r="14" spans="1:36" ht="14.4" x14ac:dyDescent="0.3">
      <c r="A14" s="2" t="s">
        <v>74</v>
      </c>
      <c r="B14" s="2" t="s">
        <v>75</v>
      </c>
      <c r="C14" s="2" t="s">
        <v>30</v>
      </c>
      <c r="D14" s="2" t="s">
        <v>31</v>
      </c>
      <c r="E14" s="2" t="s">
        <v>44</v>
      </c>
      <c r="F14" s="2">
        <v>10</v>
      </c>
      <c r="G14" s="2">
        <v>761.02</v>
      </c>
      <c r="H14" s="2">
        <v>7610.2</v>
      </c>
      <c r="I14" s="2">
        <v>4990.8500000000004</v>
      </c>
      <c r="J14" s="2">
        <v>2619.35</v>
      </c>
      <c r="K14" s="3">
        <v>45812</v>
      </c>
      <c r="L14" s="3">
        <v>45817</v>
      </c>
      <c r="M14" s="2" t="s">
        <v>21</v>
      </c>
      <c r="N14" s="2">
        <v>1</v>
      </c>
      <c r="O14" s="2" t="s">
        <v>76</v>
      </c>
      <c r="P14" s="25">
        <v>8.1</v>
      </c>
      <c r="Q14" t="str">
        <f t="shared" si="0"/>
        <v>0013</v>
      </c>
      <c r="R14" t="str">
        <f>IF('RETAIL SALES DATA.'!H14&gt;AVERAGE('RETAIL SALES DATA.'!H14:H1013),"HIGHEST VALUE","LOWEST VALUE")</f>
        <v>LOWEST VALUE</v>
      </c>
      <c r="S14" t="str">
        <f t="shared" si="1"/>
        <v>Profit</v>
      </c>
      <c r="T14" t="str">
        <f t="shared" si="2"/>
        <v>Sarah Hernandez</v>
      </c>
      <c r="U14" t="str">
        <f t="shared" si="3"/>
        <v>Desk</v>
      </c>
      <c r="V14">
        <f t="shared" si="4"/>
        <v>2025</v>
      </c>
      <c r="W14">
        <f t="shared" si="5"/>
        <v>6</v>
      </c>
      <c r="X14">
        <f t="shared" si="6"/>
        <v>4</v>
      </c>
      <c r="Y14" t="str">
        <f t="shared" si="7"/>
        <v>Jun</v>
      </c>
      <c r="Z14">
        <f t="shared" si="8"/>
        <v>5</v>
      </c>
      <c r="AB14" t="s">
        <v>2323</v>
      </c>
      <c r="AC14">
        <f>SUMIFS($H$2:$H$1001,$Y$2:$Y$1001,AB14,$V$2:$V$1001,V988)</f>
        <v>1343369.7399999998</v>
      </c>
      <c r="AD14">
        <f>SUMIFS($H$2:$H$1001,$Y$2:$Y$1001,AB14,$V$2:$V$1001,V992)</f>
        <v>1343369.7399999998</v>
      </c>
      <c r="AE14">
        <f>SUMIFS($H$2:$H$1001,$Y$2:$Y$1001,AB14,$V$2:$V$1001,V5)</f>
        <v>0</v>
      </c>
      <c r="AI14" s="6" t="s">
        <v>2309</v>
      </c>
    </row>
    <row r="15" spans="1:36" ht="14.4" x14ac:dyDescent="0.3">
      <c r="A15" s="2" t="s">
        <v>77</v>
      </c>
      <c r="B15" s="2" t="s">
        <v>78</v>
      </c>
      <c r="C15" s="2" t="s">
        <v>42</v>
      </c>
      <c r="D15" s="2" t="s">
        <v>43</v>
      </c>
      <c r="E15" s="2" t="s">
        <v>32</v>
      </c>
      <c r="F15" s="2">
        <v>4</v>
      </c>
      <c r="G15" s="2">
        <v>2151.6999999999998</v>
      </c>
      <c r="H15" s="2">
        <v>8606.7999999999993</v>
      </c>
      <c r="I15" s="2">
        <v>7408.45</v>
      </c>
      <c r="J15" s="2">
        <v>1198.3499999999999</v>
      </c>
      <c r="K15" s="3">
        <v>45747</v>
      </c>
      <c r="L15" s="3">
        <v>45754</v>
      </c>
      <c r="M15" s="2" t="s">
        <v>38</v>
      </c>
      <c r="N15" s="2">
        <v>1</v>
      </c>
      <c r="O15" s="2" t="s">
        <v>79</v>
      </c>
      <c r="P15" s="25">
        <v>7.5</v>
      </c>
      <c r="Q15" t="str">
        <f t="shared" si="0"/>
        <v>0014</v>
      </c>
      <c r="R15" t="str">
        <f>IF('RETAIL SALES DATA.'!H15&gt;AVERAGE('RETAIL SALES DATA.'!H15:H1014),"HIGHEST VALUE","LOWEST VALUE")</f>
        <v>LOWEST VALUE</v>
      </c>
      <c r="S15" t="str">
        <f t="shared" si="1"/>
        <v>Profit</v>
      </c>
      <c r="T15" t="str">
        <f t="shared" si="2"/>
        <v>John Dixon</v>
      </c>
      <c r="U15" t="str">
        <f t="shared" si="3"/>
        <v>Laptop</v>
      </c>
      <c r="V15">
        <f t="shared" si="4"/>
        <v>2025</v>
      </c>
      <c r="W15">
        <f t="shared" si="5"/>
        <v>4</v>
      </c>
      <c r="X15">
        <f t="shared" si="6"/>
        <v>31</v>
      </c>
      <c r="Y15" t="str">
        <f t="shared" si="7"/>
        <v>Mar</v>
      </c>
      <c r="Z15">
        <f t="shared" si="8"/>
        <v>7</v>
      </c>
      <c r="AB15" t="s">
        <v>2324</v>
      </c>
      <c r="AC15">
        <f>SUMIFS($H$2:$H$1001,$Y$2:$Y$1001,AB15,$V$2:$V$1001,V989)</f>
        <v>898947.59000000008</v>
      </c>
      <c r="AD15">
        <f>SUMIFS($H$2:$H$1001,$Y$2:$Y$1001,AB15,$V$2:$V$1001,V993)</f>
        <v>1380237.0200000005</v>
      </c>
      <c r="AE15">
        <f>SUMIFS($H$2:$H$1001,$Y$2:$Y$1001,AB15,$V$2:$V$1001,V6)</f>
        <v>898947.59000000008</v>
      </c>
      <c r="AI15">
        <v>2024</v>
      </c>
      <c r="AJ15">
        <f>SUMIF($V$2:$V$1001,AI15,$H$2:$H$1001)</f>
        <v>8340960.2500000028</v>
      </c>
    </row>
    <row r="16" spans="1:36" ht="14.4" x14ac:dyDescent="0.3">
      <c r="A16" s="2" t="s">
        <v>80</v>
      </c>
      <c r="B16" s="2" t="s">
        <v>81</v>
      </c>
      <c r="C16" s="2" t="s">
        <v>62</v>
      </c>
      <c r="D16" s="2" t="s">
        <v>31</v>
      </c>
      <c r="E16" s="2" t="s">
        <v>20</v>
      </c>
      <c r="F16" s="2">
        <v>1</v>
      </c>
      <c r="G16" s="2">
        <v>1909.53</v>
      </c>
      <c r="H16" s="2">
        <v>1909.53</v>
      </c>
      <c r="I16" s="2">
        <v>1574.6</v>
      </c>
      <c r="J16" s="2">
        <v>334.93</v>
      </c>
      <c r="K16" s="3">
        <v>45765</v>
      </c>
      <c r="L16" s="3">
        <v>45766</v>
      </c>
      <c r="M16" s="2" t="s">
        <v>26</v>
      </c>
      <c r="N16" s="2">
        <v>4</v>
      </c>
      <c r="O16" s="2" t="s">
        <v>82</v>
      </c>
      <c r="P16" s="25">
        <v>8.5</v>
      </c>
      <c r="Q16" t="str">
        <f t="shared" si="0"/>
        <v>0015</v>
      </c>
      <c r="R16" t="str">
        <f>IF('RETAIL SALES DATA.'!H16&gt;AVERAGE('RETAIL SALES DATA.'!H16:H1015),"HIGHEST VALUE","LOWEST VALUE")</f>
        <v>LOWEST VALUE</v>
      </c>
      <c r="S16" t="str">
        <f t="shared" si="1"/>
        <v>Profit</v>
      </c>
      <c r="T16" t="str">
        <f t="shared" si="2"/>
        <v>Javier Cole</v>
      </c>
      <c r="U16" t="str">
        <f t="shared" si="3"/>
        <v>Table</v>
      </c>
      <c r="V16">
        <f t="shared" si="4"/>
        <v>2025</v>
      </c>
      <c r="W16">
        <f t="shared" si="5"/>
        <v>4</v>
      </c>
      <c r="X16">
        <f t="shared" si="6"/>
        <v>18</v>
      </c>
      <c r="Y16" t="str">
        <f t="shared" si="7"/>
        <v>Apr</v>
      </c>
      <c r="Z16">
        <f t="shared" si="8"/>
        <v>1</v>
      </c>
      <c r="AB16" t="s">
        <v>2317</v>
      </c>
      <c r="AC16">
        <f>SUMIFS($H$2:$H$1001,$Y$2:$Y$1001,AB16,$V$2:$V$1001,V990)</f>
        <v>530012.66000000015</v>
      </c>
      <c r="AD16">
        <f>SUMIFS($H$2:$H$1001,$Y$2:$Y$1001,AB16,$V$2:$V$1001,V994)</f>
        <v>1003309.67</v>
      </c>
      <c r="AE16">
        <f>SUMIFS($H$2:$H$1001,$Y$2:$Y$1001,AB16,$V$2:$V$1001,V7)</f>
        <v>530012.66000000015</v>
      </c>
      <c r="AI16">
        <v>2025</v>
      </c>
      <c r="AJ16">
        <f>SUMIF($V$2:$V$1001,AI16,$H$2:$H$1001)</f>
        <v>13413606.270000013</v>
      </c>
    </row>
    <row r="17" spans="1:36" ht="14.4" x14ac:dyDescent="0.3">
      <c r="A17" s="2" t="s">
        <v>83</v>
      </c>
      <c r="B17" s="2" t="s">
        <v>84</v>
      </c>
      <c r="C17" s="2" t="s">
        <v>42</v>
      </c>
      <c r="D17" s="2" t="s">
        <v>43</v>
      </c>
      <c r="E17" s="2" t="s">
        <v>32</v>
      </c>
      <c r="F17" s="2">
        <v>13</v>
      </c>
      <c r="G17" s="2">
        <v>4687.55</v>
      </c>
      <c r="H17" s="2">
        <v>60938.15</v>
      </c>
      <c r="I17" s="2">
        <v>46078.82</v>
      </c>
      <c r="J17" s="2">
        <v>14859.33</v>
      </c>
      <c r="K17" s="3">
        <v>45880</v>
      </c>
      <c r="L17" s="3">
        <v>45883</v>
      </c>
      <c r="M17" s="2" t="s">
        <v>26</v>
      </c>
      <c r="N17" s="2">
        <v>4</v>
      </c>
      <c r="O17" s="2" t="s">
        <v>85</v>
      </c>
      <c r="P17" s="25">
        <v>7.1</v>
      </c>
      <c r="Q17" t="str">
        <f t="shared" si="0"/>
        <v>0016</v>
      </c>
      <c r="R17" t="str">
        <f>IF('RETAIL SALES DATA.'!H17&gt;AVERAGE('RETAIL SALES DATA.'!H17:H1016),"HIGHEST VALUE","LOWEST VALUE")</f>
        <v>HIGHEST VALUE</v>
      </c>
      <c r="S17" t="str">
        <f t="shared" si="1"/>
        <v>Profit</v>
      </c>
      <c r="T17" t="str">
        <f t="shared" si="2"/>
        <v>Nathan Kline</v>
      </c>
      <c r="U17" t="str">
        <f t="shared" si="3"/>
        <v>Laptop</v>
      </c>
      <c r="V17">
        <f t="shared" si="4"/>
        <v>2025</v>
      </c>
      <c r="W17">
        <f t="shared" si="5"/>
        <v>8</v>
      </c>
      <c r="X17">
        <f t="shared" si="6"/>
        <v>11</v>
      </c>
      <c r="Y17" t="str">
        <f t="shared" si="7"/>
        <v>Aug</v>
      </c>
      <c r="Z17">
        <f t="shared" si="8"/>
        <v>3</v>
      </c>
      <c r="AB17" t="s">
        <v>2322</v>
      </c>
      <c r="AC17">
        <f>SUMIFS($H$2:$H$1001,$Y$2:$Y$1001,AB17,$V$2:$V$1001,V991)</f>
        <v>1180005.8</v>
      </c>
      <c r="AD17">
        <f>SUMIFS($H$2:$H$1001,$Y$2:$Y$1001,AB17,$V$2:$V$1001,V995)</f>
        <v>0</v>
      </c>
      <c r="AE17">
        <f>SUMIFS($H$2:$H$1001,$Y$2:$Y$1001,AB17,$V$2:$V$1001,V8)</f>
        <v>1180005.8</v>
      </c>
      <c r="AI17">
        <v>2026</v>
      </c>
      <c r="AJ17">
        <f t="shared" ref="AJ17" si="9">SUMIF($V$2:$V$1001,AI17,$H$2:$H$1001)</f>
        <v>4716577.0600000005</v>
      </c>
    </row>
    <row r="18" spans="1:36" ht="14.4" x14ac:dyDescent="0.3">
      <c r="A18" s="2" t="s">
        <v>86</v>
      </c>
      <c r="B18" s="2" t="s">
        <v>87</v>
      </c>
      <c r="C18" s="2" t="s">
        <v>88</v>
      </c>
      <c r="D18" s="2" t="s">
        <v>31</v>
      </c>
      <c r="E18" s="2" t="s">
        <v>32</v>
      </c>
      <c r="F18" s="2">
        <v>17</v>
      </c>
      <c r="G18" s="2">
        <v>4690.3100000000004</v>
      </c>
      <c r="H18" s="2">
        <v>79735.27</v>
      </c>
      <c r="I18" s="2">
        <v>45830.53</v>
      </c>
      <c r="J18" s="2">
        <v>33904.74</v>
      </c>
      <c r="K18" s="3">
        <v>46152</v>
      </c>
      <c r="L18" s="3">
        <v>46153</v>
      </c>
      <c r="M18" s="2" t="s">
        <v>50</v>
      </c>
      <c r="N18" s="2">
        <v>5</v>
      </c>
      <c r="O18" s="2" t="s">
        <v>89</v>
      </c>
      <c r="P18" s="25">
        <v>7.7</v>
      </c>
      <c r="Q18" t="str">
        <f t="shared" si="0"/>
        <v>0017</v>
      </c>
      <c r="R18" t="str">
        <f>IF('RETAIL SALES DATA.'!H18&gt;AVERAGE('RETAIL SALES DATA.'!H18:H1017),"HIGHEST VALUE","LOWEST VALUE")</f>
        <v>HIGHEST VALUE</v>
      </c>
      <c r="S18" t="str">
        <f t="shared" si="1"/>
        <v>Profit</v>
      </c>
      <c r="T18" t="str">
        <f t="shared" si="2"/>
        <v>Miss Christina Taylor</v>
      </c>
      <c r="U18" t="str">
        <f t="shared" si="3"/>
        <v>Cupboard</v>
      </c>
      <c r="V18">
        <f t="shared" si="4"/>
        <v>2026</v>
      </c>
      <c r="W18">
        <f t="shared" si="5"/>
        <v>5</v>
      </c>
      <c r="X18">
        <f t="shared" si="6"/>
        <v>10</v>
      </c>
      <c r="Y18" t="str">
        <f t="shared" si="7"/>
        <v>May</v>
      </c>
      <c r="Z18">
        <f t="shared" si="8"/>
        <v>1</v>
      </c>
      <c r="AB18" t="s">
        <v>2318</v>
      </c>
      <c r="AC18">
        <f>SUMIFS($H$2:$H$1001,$Y$2:$Y$1001,AB18,$V$2:$V$1001,V992)</f>
        <v>1051466.1399999999</v>
      </c>
      <c r="AD18">
        <f>SUMIFS($H$2:$H$1001,$Y$2:$Y$1001,AB18,$V$2:$V$1001,V996)</f>
        <v>1051466.1399999999</v>
      </c>
      <c r="AE18">
        <f>SUMIFS($H$2:$H$1001,$Y$2:$Y$1001,AB18,$V$2:$V$1001,V9)</f>
        <v>0</v>
      </c>
      <c r="AG18" s="6"/>
    </row>
    <row r="19" spans="1:36" ht="14.4" x14ac:dyDescent="0.3">
      <c r="A19" s="2" t="s">
        <v>90</v>
      </c>
      <c r="B19" s="2" t="s">
        <v>91</v>
      </c>
      <c r="C19" s="2" t="s">
        <v>42</v>
      </c>
      <c r="D19" s="2" t="s">
        <v>43</v>
      </c>
      <c r="E19" s="2" t="s">
        <v>25</v>
      </c>
      <c r="F19" s="2">
        <v>19</v>
      </c>
      <c r="G19" s="2">
        <v>4107.3999999999996</v>
      </c>
      <c r="H19" s="2">
        <v>78040.600000000006</v>
      </c>
      <c r="I19" s="2">
        <v>57454.36</v>
      </c>
      <c r="J19" s="2">
        <v>20586.240000000002</v>
      </c>
      <c r="K19" s="3">
        <v>45814</v>
      </c>
      <c r="L19" s="3">
        <v>45817</v>
      </c>
      <c r="M19" s="2" t="s">
        <v>50</v>
      </c>
      <c r="N19" s="2">
        <v>3</v>
      </c>
      <c r="O19" s="2" t="s">
        <v>92</v>
      </c>
      <c r="P19" s="25">
        <v>6</v>
      </c>
      <c r="Q19" t="str">
        <f t="shared" si="0"/>
        <v>0018</v>
      </c>
      <c r="R19" t="str">
        <f>IF('RETAIL SALES DATA.'!H19&gt;AVERAGE('RETAIL SALES DATA.'!H19:H1018),"HIGHEST VALUE","LOWEST VALUE")</f>
        <v>HIGHEST VALUE</v>
      </c>
      <c r="S19" t="str">
        <f t="shared" si="1"/>
        <v>Profit</v>
      </c>
      <c r="T19" t="str">
        <f t="shared" si="2"/>
        <v>Martin Morton</v>
      </c>
      <c r="U19" t="str">
        <f t="shared" si="3"/>
        <v>Laptop</v>
      </c>
      <c r="V19">
        <f t="shared" si="4"/>
        <v>2025</v>
      </c>
      <c r="W19">
        <f t="shared" si="5"/>
        <v>6</v>
      </c>
      <c r="X19">
        <f t="shared" si="6"/>
        <v>6</v>
      </c>
      <c r="Y19" t="str">
        <f t="shared" si="7"/>
        <v>Jun</v>
      </c>
      <c r="Z19">
        <f t="shared" si="8"/>
        <v>3</v>
      </c>
      <c r="AB19" t="s">
        <v>2325</v>
      </c>
      <c r="AC19">
        <f>SUMIFS($H$2:$H$1001,$Y$2:$Y$1001,AB19,$V$2:$V$1001,V993)</f>
        <v>1122773.1399999999</v>
      </c>
      <c r="AD19">
        <f>SUMIFS($H$2:$H$1001,$Y$2:$Y$1001,AB19,$V$2:$V$1001,V997)</f>
        <v>1122773.1399999999</v>
      </c>
      <c r="AE19">
        <f>SUMIFS($H$2:$H$1001,$Y$2:$Y$1001,AB19,$V$2:$V$1001,V10)</f>
        <v>1435955.8999999997</v>
      </c>
    </row>
    <row r="20" spans="1:36" ht="14.4" x14ac:dyDescent="0.3">
      <c r="A20" s="2" t="s">
        <v>93</v>
      </c>
      <c r="B20" s="2" t="s">
        <v>94</v>
      </c>
      <c r="C20" s="2" t="s">
        <v>95</v>
      </c>
      <c r="D20" s="2" t="s">
        <v>19</v>
      </c>
      <c r="E20" s="2" t="s">
        <v>20</v>
      </c>
      <c r="F20" s="2">
        <v>8</v>
      </c>
      <c r="G20" s="2">
        <v>1560.78</v>
      </c>
      <c r="H20" s="2">
        <v>12486.24</v>
      </c>
      <c r="I20" s="2">
        <v>9150.61</v>
      </c>
      <c r="J20" s="2">
        <v>3335.63</v>
      </c>
      <c r="K20" s="3">
        <v>46104</v>
      </c>
      <c r="L20" s="3">
        <v>46112</v>
      </c>
      <c r="M20" s="2" t="s">
        <v>50</v>
      </c>
      <c r="N20" s="2">
        <v>3</v>
      </c>
      <c r="O20" s="2" t="s">
        <v>96</v>
      </c>
      <c r="P20" s="25">
        <v>7</v>
      </c>
      <c r="Q20" t="str">
        <f t="shared" si="0"/>
        <v>0019</v>
      </c>
      <c r="R20" t="str">
        <f>IF('RETAIL SALES DATA.'!H20&gt;AVERAGE('RETAIL SALES DATA.'!H20:H1019),"HIGHEST VALUE","LOWEST VALUE")</f>
        <v>LOWEST VALUE</v>
      </c>
      <c r="S20" t="str">
        <f t="shared" si="1"/>
        <v>Profit</v>
      </c>
      <c r="T20" t="str">
        <f t="shared" si="2"/>
        <v>Adam Mullins</v>
      </c>
      <c r="U20" t="str">
        <f t="shared" si="3"/>
        <v>Printer</v>
      </c>
      <c r="V20">
        <f t="shared" si="4"/>
        <v>2026</v>
      </c>
      <c r="W20">
        <f t="shared" si="5"/>
        <v>3</v>
      </c>
      <c r="X20">
        <f t="shared" si="6"/>
        <v>23</v>
      </c>
      <c r="Y20" t="str">
        <f t="shared" si="7"/>
        <v>Mar</v>
      </c>
      <c r="Z20">
        <f t="shared" si="8"/>
        <v>8</v>
      </c>
      <c r="AB20" t="s">
        <v>2315</v>
      </c>
      <c r="AC20">
        <f>SUMIFS($H$2:$H$1001,$Y$2:$Y$1001,AB20,$V$2:$V$1001,V994)</f>
        <v>1045399.34</v>
      </c>
      <c r="AD20">
        <f>SUMIFS($H$2:$H$1001,$Y$2:$Y$1001,AB20,$V$2:$V$1001,V998)</f>
        <v>1045399.34</v>
      </c>
      <c r="AE20">
        <f>SUMIFS($H$2:$H$1001,$Y$2:$Y$1001,AB20,$V$2:$V$1001,V11)</f>
        <v>1045399.34</v>
      </c>
    </row>
    <row r="21" spans="1:36" ht="15.75" customHeight="1" x14ac:dyDescent="0.3">
      <c r="A21" s="2" t="s">
        <v>97</v>
      </c>
      <c r="B21" s="2" t="s">
        <v>98</v>
      </c>
      <c r="C21" s="2" t="s">
        <v>72</v>
      </c>
      <c r="D21" s="2" t="s">
        <v>31</v>
      </c>
      <c r="E21" s="2" t="s">
        <v>44</v>
      </c>
      <c r="F21" s="2">
        <v>7</v>
      </c>
      <c r="G21" s="2">
        <v>581.16</v>
      </c>
      <c r="H21" s="2">
        <v>4068.12</v>
      </c>
      <c r="I21" s="2">
        <v>2668.67</v>
      </c>
      <c r="J21" s="2">
        <v>1399.45</v>
      </c>
      <c r="K21" s="3">
        <v>45805</v>
      </c>
      <c r="L21" s="3">
        <v>45814</v>
      </c>
      <c r="M21" s="2" t="s">
        <v>69</v>
      </c>
      <c r="N21" s="2">
        <v>4</v>
      </c>
      <c r="O21" s="2" t="s">
        <v>99</v>
      </c>
      <c r="P21" s="25">
        <v>8.1</v>
      </c>
      <c r="Q21" t="str">
        <f t="shared" si="0"/>
        <v>0020</v>
      </c>
      <c r="R21" t="str">
        <f>IF('RETAIL SALES DATA.'!H21&gt;AVERAGE('RETAIL SALES DATA.'!H21:H1020),"HIGHEST VALUE","LOWEST VALUE")</f>
        <v>LOWEST VALUE</v>
      </c>
      <c r="S21" t="str">
        <f t="shared" si="1"/>
        <v>Profit</v>
      </c>
      <c r="T21" t="str">
        <f t="shared" si="2"/>
        <v>Sean Rodriguez</v>
      </c>
      <c r="U21" t="str">
        <f t="shared" si="3"/>
        <v>Chair</v>
      </c>
      <c r="V21">
        <f t="shared" si="4"/>
        <v>2025</v>
      </c>
      <c r="W21">
        <f t="shared" si="5"/>
        <v>6</v>
      </c>
      <c r="X21">
        <f t="shared" si="6"/>
        <v>28</v>
      </c>
      <c r="Y21" t="str">
        <f t="shared" si="7"/>
        <v>May</v>
      </c>
      <c r="Z21">
        <f t="shared" si="8"/>
        <v>9</v>
      </c>
      <c r="AB21" t="s">
        <v>2326</v>
      </c>
      <c r="AC21">
        <f>SUMIFS($H$2:$H$1001,$Y$2:$Y$1001,AB21,$V$2:$V$1001,V995)</f>
        <v>0</v>
      </c>
      <c r="AD21">
        <f>SUMIFS($H$2:$H$1001,$Y$2:$Y$1001,AB21,$V$2:$V$1001,V999)</f>
        <v>1137093.3600000001</v>
      </c>
      <c r="AE21">
        <f>SUMIFS($H$2:$H$1001,$Y$2:$Y$1001,AB21,$V$2:$V$1001,V12)</f>
        <v>1301211.4099999997</v>
      </c>
    </row>
    <row r="22" spans="1:36" ht="15.75" customHeight="1" x14ac:dyDescent="0.3">
      <c r="A22" s="2" t="s">
        <v>100</v>
      </c>
      <c r="B22" s="2" t="s">
        <v>101</v>
      </c>
      <c r="C22" s="2" t="s">
        <v>42</v>
      </c>
      <c r="D22" s="2" t="s">
        <v>43</v>
      </c>
      <c r="E22" s="2" t="s">
        <v>44</v>
      </c>
      <c r="F22" s="2">
        <v>16</v>
      </c>
      <c r="G22" s="2">
        <v>3094.38</v>
      </c>
      <c r="H22" s="2">
        <v>49510.080000000002</v>
      </c>
      <c r="I22" s="2">
        <v>33974.06</v>
      </c>
      <c r="J22" s="2">
        <v>15536.02</v>
      </c>
      <c r="K22" s="3">
        <v>45623</v>
      </c>
      <c r="L22" s="3">
        <v>45626</v>
      </c>
      <c r="M22" s="2" t="s">
        <v>26</v>
      </c>
      <c r="N22" s="2">
        <v>1</v>
      </c>
      <c r="O22" s="2" t="s">
        <v>102</v>
      </c>
      <c r="P22" s="25">
        <v>6.7</v>
      </c>
      <c r="Q22" t="str">
        <f t="shared" si="0"/>
        <v>0021</v>
      </c>
      <c r="R22" t="str">
        <f>IF('RETAIL SALES DATA.'!H22&gt;AVERAGE('RETAIL SALES DATA.'!H22:H1021),"HIGHEST VALUE","LOWEST VALUE")</f>
        <v>HIGHEST VALUE</v>
      </c>
      <c r="S22" t="str">
        <f t="shared" si="1"/>
        <v>Profit</v>
      </c>
      <c r="T22" t="str">
        <f t="shared" si="2"/>
        <v>Joseph Mora</v>
      </c>
      <c r="U22" t="str">
        <f t="shared" si="3"/>
        <v>Laptop</v>
      </c>
      <c r="V22">
        <f t="shared" si="4"/>
        <v>2024</v>
      </c>
      <c r="W22">
        <f t="shared" si="5"/>
        <v>11</v>
      </c>
      <c r="X22">
        <f t="shared" si="6"/>
        <v>27</v>
      </c>
      <c r="Y22" t="str">
        <f t="shared" si="7"/>
        <v>Nov</v>
      </c>
      <c r="Z22">
        <f t="shared" si="8"/>
        <v>3</v>
      </c>
      <c r="AB22" t="s">
        <v>2319</v>
      </c>
      <c r="AC22">
        <f>SUMIFS($H$2:$H$1001,$Y$2:$Y$1001,AB22,$V$2:$V$1001,V996)</f>
        <v>1086755.5099999998</v>
      </c>
      <c r="AD22">
        <f>SUMIFS($H$2:$H$1001,$Y$2:$Y$1001,AB22,$V$2:$V$1001,V1000)</f>
        <v>0</v>
      </c>
      <c r="AE22">
        <f>SUMIFS($H$2:$H$1001,$Y$2:$Y$1001,AB22,$V$2:$V$1001,V13)</f>
        <v>1086755.5099999998</v>
      </c>
    </row>
    <row r="23" spans="1:36" ht="15.75" customHeight="1" x14ac:dyDescent="0.3">
      <c r="A23" s="2" t="s">
        <v>103</v>
      </c>
      <c r="B23" s="2" t="s">
        <v>104</v>
      </c>
      <c r="C23" s="2" t="s">
        <v>88</v>
      </c>
      <c r="D23" s="2" t="s">
        <v>31</v>
      </c>
      <c r="E23" s="2" t="s">
        <v>44</v>
      </c>
      <c r="F23" s="2">
        <v>17</v>
      </c>
      <c r="G23" s="2">
        <v>4018.59</v>
      </c>
      <c r="H23" s="2">
        <v>68316.03</v>
      </c>
      <c r="I23" s="2">
        <v>51272.800000000003</v>
      </c>
      <c r="J23" s="2">
        <v>17043.23</v>
      </c>
      <c r="K23" s="3">
        <v>46092</v>
      </c>
      <c r="L23" s="3">
        <v>46101</v>
      </c>
      <c r="M23" s="2" t="s">
        <v>45</v>
      </c>
      <c r="N23" s="2">
        <v>5</v>
      </c>
      <c r="O23" s="2" t="s">
        <v>105</v>
      </c>
      <c r="P23" s="25">
        <v>7.1</v>
      </c>
      <c r="Q23" t="str">
        <f t="shared" si="0"/>
        <v>0022</v>
      </c>
      <c r="R23" t="str">
        <f>IF('RETAIL SALES DATA.'!H23&gt;AVERAGE('RETAIL SALES DATA.'!H23:H1022),"HIGHEST VALUE","LOWEST VALUE")</f>
        <v>HIGHEST VALUE</v>
      </c>
      <c r="S23" t="str">
        <f t="shared" si="1"/>
        <v>Profit</v>
      </c>
      <c r="T23" t="str">
        <f t="shared" si="2"/>
        <v>Deborah Hernandez</v>
      </c>
      <c r="U23" t="str">
        <f t="shared" si="3"/>
        <v>Cupboard</v>
      </c>
      <c r="V23">
        <f t="shared" si="4"/>
        <v>2026</v>
      </c>
      <c r="W23">
        <f t="shared" si="5"/>
        <v>3</v>
      </c>
      <c r="X23">
        <f t="shared" si="6"/>
        <v>11</v>
      </c>
      <c r="Y23" t="str">
        <f t="shared" si="7"/>
        <v>Mar</v>
      </c>
      <c r="Z23">
        <f t="shared" si="8"/>
        <v>9</v>
      </c>
      <c r="AB23" t="s">
        <v>2321</v>
      </c>
      <c r="AC23">
        <f>SUMIFS($H$2:$H$1001,$Y$2:$Y$1001,AB23,$V$2:$V$1001,V997)</f>
        <v>1027155.3199999998</v>
      </c>
      <c r="AD23">
        <f>SUMIFS($H$2:$H$1001,$Y$2:$Y$1001,AB23,$V$2:$V$1001,V1001)</f>
        <v>1027155.3199999998</v>
      </c>
      <c r="AE23">
        <f>SUMIFS($H$2:$H$1001,$Y$2:$Y$1001,AB23,$V$2:$V$1001,V14)</f>
        <v>1027155.3199999998</v>
      </c>
    </row>
    <row r="24" spans="1:36" ht="15.75" customHeight="1" x14ac:dyDescent="0.3">
      <c r="A24" s="2" t="s">
        <v>106</v>
      </c>
      <c r="B24" s="2" t="s">
        <v>107</v>
      </c>
      <c r="C24" s="2" t="s">
        <v>95</v>
      </c>
      <c r="D24" s="2" t="s">
        <v>19</v>
      </c>
      <c r="E24" s="2" t="s">
        <v>25</v>
      </c>
      <c r="F24" s="2">
        <v>6</v>
      </c>
      <c r="G24" s="2">
        <v>3184.36</v>
      </c>
      <c r="H24" s="2">
        <v>19106.16</v>
      </c>
      <c r="I24" s="2">
        <v>10404.209999999999</v>
      </c>
      <c r="J24" s="2">
        <v>8701.9500000000007</v>
      </c>
      <c r="K24" s="3">
        <v>45826</v>
      </c>
      <c r="L24" s="3">
        <v>45832</v>
      </c>
      <c r="M24" s="2" t="s">
        <v>58</v>
      </c>
      <c r="N24" s="2">
        <v>5</v>
      </c>
      <c r="O24" s="2" t="s">
        <v>108</v>
      </c>
      <c r="P24" s="25">
        <v>6.3</v>
      </c>
      <c r="Q24" t="str">
        <f t="shared" si="0"/>
        <v>0023</v>
      </c>
      <c r="R24" t="str">
        <f>IF('RETAIL SALES DATA.'!H24&gt;AVERAGE('RETAIL SALES DATA.'!H24:H1023),"HIGHEST VALUE","LOWEST VALUE")</f>
        <v>LOWEST VALUE</v>
      </c>
      <c r="S24" t="str">
        <f t="shared" si="1"/>
        <v>Profit</v>
      </c>
      <c r="T24" t="str">
        <f t="shared" si="2"/>
        <v>Elizabeth Moore</v>
      </c>
      <c r="U24" t="str">
        <f t="shared" si="3"/>
        <v>Printer</v>
      </c>
      <c r="V24">
        <f t="shared" si="4"/>
        <v>2025</v>
      </c>
      <c r="W24">
        <f t="shared" si="5"/>
        <v>6</v>
      </c>
      <c r="X24">
        <f t="shared" si="6"/>
        <v>18</v>
      </c>
      <c r="Y24" t="str">
        <f t="shared" si="7"/>
        <v>Jun</v>
      </c>
      <c r="Z24">
        <f t="shared" si="8"/>
        <v>6</v>
      </c>
      <c r="AC24" s="20"/>
    </row>
    <row r="25" spans="1:36" ht="15.75" customHeight="1" x14ac:dyDescent="0.3">
      <c r="A25" s="2" t="s">
        <v>109</v>
      </c>
      <c r="B25" s="2" t="s">
        <v>110</v>
      </c>
      <c r="C25" s="2" t="s">
        <v>30</v>
      </c>
      <c r="D25" s="2" t="s">
        <v>31</v>
      </c>
      <c r="E25" s="2" t="s">
        <v>25</v>
      </c>
      <c r="F25" s="2">
        <v>20</v>
      </c>
      <c r="G25" s="2">
        <v>267.77999999999997</v>
      </c>
      <c r="H25" s="2">
        <v>5355.6</v>
      </c>
      <c r="I25" s="2">
        <v>2790.07</v>
      </c>
      <c r="J25" s="2">
        <v>2565.5300000000002</v>
      </c>
      <c r="K25" s="3">
        <v>45603</v>
      </c>
      <c r="L25" s="3">
        <v>45613</v>
      </c>
      <c r="M25" s="2" t="s">
        <v>26</v>
      </c>
      <c r="N25" s="2">
        <v>5</v>
      </c>
      <c r="O25" s="2" t="s">
        <v>111</v>
      </c>
      <c r="P25" s="25">
        <v>7.6</v>
      </c>
      <c r="Q25" t="str">
        <f t="shared" si="0"/>
        <v>0024</v>
      </c>
      <c r="R25" t="str">
        <f>IF('RETAIL SALES DATA.'!H25&gt;AVERAGE('RETAIL SALES DATA.'!H25:H1024),"HIGHEST VALUE","LOWEST VALUE")</f>
        <v>LOWEST VALUE</v>
      </c>
      <c r="S25" t="str">
        <f t="shared" si="1"/>
        <v>Profit</v>
      </c>
      <c r="T25" t="str">
        <f t="shared" si="2"/>
        <v>Melissa Davis</v>
      </c>
      <c r="U25" t="str">
        <f t="shared" si="3"/>
        <v>Desk</v>
      </c>
      <c r="V25">
        <f t="shared" si="4"/>
        <v>2024</v>
      </c>
      <c r="W25">
        <f t="shared" si="5"/>
        <v>11</v>
      </c>
      <c r="X25">
        <f t="shared" si="6"/>
        <v>7</v>
      </c>
      <c r="Y25" t="str">
        <f t="shared" si="7"/>
        <v>Nov</v>
      </c>
      <c r="Z25">
        <f t="shared" si="8"/>
        <v>10</v>
      </c>
      <c r="AC25" s="20"/>
    </row>
    <row r="26" spans="1:36" ht="15.75" customHeight="1" x14ac:dyDescent="0.3">
      <c r="A26" s="2" t="s">
        <v>112</v>
      </c>
      <c r="B26" s="2" t="s">
        <v>113</v>
      </c>
      <c r="C26" s="2" t="s">
        <v>72</v>
      </c>
      <c r="D26" s="2" t="s">
        <v>31</v>
      </c>
      <c r="E26" s="2" t="s">
        <v>20</v>
      </c>
      <c r="F26" s="2">
        <v>18</v>
      </c>
      <c r="G26" s="2">
        <v>1973.33</v>
      </c>
      <c r="H26" s="2">
        <v>35519.94</v>
      </c>
      <c r="I26" s="2">
        <v>18379.63</v>
      </c>
      <c r="J26" s="2">
        <v>17140.310000000001</v>
      </c>
      <c r="K26" s="3">
        <v>45520</v>
      </c>
      <c r="L26" s="3">
        <v>45521</v>
      </c>
      <c r="M26" s="2" t="s">
        <v>50</v>
      </c>
      <c r="N26" s="2">
        <v>3</v>
      </c>
      <c r="O26" s="2" t="s">
        <v>114</v>
      </c>
      <c r="P26" s="25">
        <v>8.3000000000000007</v>
      </c>
      <c r="Q26" t="str">
        <f t="shared" si="0"/>
        <v>0025</v>
      </c>
      <c r="R26" t="str">
        <f>IF('RETAIL SALES DATA.'!H26&gt;AVERAGE('RETAIL SALES DATA.'!H26:H1025),"HIGHEST VALUE","LOWEST VALUE")</f>
        <v>HIGHEST VALUE</v>
      </c>
      <c r="S26" t="str">
        <f t="shared" si="1"/>
        <v>Profit</v>
      </c>
      <c r="T26" t="str">
        <f t="shared" si="2"/>
        <v>Andrew Gould</v>
      </c>
      <c r="U26" t="str">
        <f t="shared" si="3"/>
        <v>Chair</v>
      </c>
      <c r="V26">
        <f t="shared" si="4"/>
        <v>2024</v>
      </c>
      <c r="W26">
        <f t="shared" si="5"/>
        <v>8</v>
      </c>
      <c r="X26">
        <f t="shared" si="6"/>
        <v>16</v>
      </c>
      <c r="Y26" t="str">
        <f t="shared" si="7"/>
        <v>Aug</v>
      </c>
      <c r="Z26">
        <f t="shared" si="8"/>
        <v>1</v>
      </c>
      <c r="AC26" s="20"/>
    </row>
    <row r="27" spans="1:36" ht="15.75" customHeight="1" x14ac:dyDescent="0.3">
      <c r="A27" s="2" t="s">
        <v>115</v>
      </c>
      <c r="B27" s="2" t="s">
        <v>116</v>
      </c>
      <c r="C27" s="2" t="s">
        <v>18</v>
      </c>
      <c r="D27" s="2" t="s">
        <v>19</v>
      </c>
      <c r="E27" s="2" t="s">
        <v>25</v>
      </c>
      <c r="F27" s="2">
        <v>10</v>
      </c>
      <c r="G27" s="2">
        <v>4872.29</v>
      </c>
      <c r="H27" s="2">
        <v>48722.9</v>
      </c>
      <c r="I27" s="2">
        <v>30720.080000000002</v>
      </c>
      <c r="J27" s="2">
        <v>18002.82</v>
      </c>
      <c r="K27" s="3">
        <v>45807</v>
      </c>
      <c r="L27" s="3">
        <v>45814</v>
      </c>
      <c r="M27" s="2" t="s">
        <v>69</v>
      </c>
      <c r="N27" s="2">
        <v>3</v>
      </c>
      <c r="O27" s="2" t="s">
        <v>117</v>
      </c>
      <c r="P27" s="25">
        <v>6.8</v>
      </c>
      <c r="Q27" t="str">
        <f t="shared" si="0"/>
        <v>0026</v>
      </c>
      <c r="R27" t="str">
        <f>IF('RETAIL SALES DATA.'!H27&gt;AVERAGE('RETAIL SALES DATA.'!H27:H1026),"HIGHEST VALUE","LOWEST VALUE")</f>
        <v>HIGHEST VALUE</v>
      </c>
      <c r="S27" t="str">
        <f t="shared" si="1"/>
        <v>Profit</v>
      </c>
      <c r="T27" t="str">
        <f t="shared" si="2"/>
        <v>Glen Scott</v>
      </c>
      <c r="U27" t="str">
        <f t="shared" si="3"/>
        <v>Pen</v>
      </c>
      <c r="V27">
        <f t="shared" si="4"/>
        <v>2025</v>
      </c>
      <c r="W27">
        <f t="shared" si="5"/>
        <v>6</v>
      </c>
      <c r="X27">
        <f t="shared" si="6"/>
        <v>30</v>
      </c>
      <c r="Y27" t="str">
        <f t="shared" si="7"/>
        <v>May</v>
      </c>
      <c r="Z27">
        <f t="shared" si="8"/>
        <v>7</v>
      </c>
      <c r="AC27" s="20"/>
    </row>
    <row r="28" spans="1:36" ht="15.75" customHeight="1" x14ac:dyDescent="0.3">
      <c r="A28" s="2" t="s">
        <v>118</v>
      </c>
      <c r="B28" s="2" t="s">
        <v>119</v>
      </c>
      <c r="C28" s="2" t="s">
        <v>57</v>
      </c>
      <c r="D28" s="2" t="s">
        <v>19</v>
      </c>
      <c r="E28" s="2" t="s">
        <v>32</v>
      </c>
      <c r="F28" s="2">
        <v>12</v>
      </c>
      <c r="G28" s="2">
        <v>3399.13</v>
      </c>
      <c r="H28" s="2">
        <v>40789.56</v>
      </c>
      <c r="I28" s="2">
        <v>26160.75</v>
      </c>
      <c r="J28" s="2">
        <v>14628.81</v>
      </c>
      <c r="K28" s="3">
        <v>45643</v>
      </c>
      <c r="L28" s="3">
        <v>45645</v>
      </c>
      <c r="M28" s="2" t="s">
        <v>45</v>
      </c>
      <c r="N28" s="2">
        <v>3</v>
      </c>
      <c r="O28" s="2" t="s">
        <v>120</v>
      </c>
      <c r="P28" s="25">
        <v>6.9</v>
      </c>
      <c r="Q28" t="str">
        <f t="shared" si="0"/>
        <v>0027</v>
      </c>
      <c r="R28" t="str">
        <f>IF('RETAIL SALES DATA.'!H28&gt;AVERAGE('RETAIL SALES DATA.'!H28:H1027),"HIGHEST VALUE","LOWEST VALUE")</f>
        <v>HIGHEST VALUE</v>
      </c>
      <c r="S28" t="str">
        <f t="shared" si="1"/>
        <v>Profit</v>
      </c>
      <c r="T28" t="str">
        <f t="shared" si="2"/>
        <v>Isaac Fisher</v>
      </c>
      <c r="U28" t="str">
        <f t="shared" si="3"/>
        <v>Notebook</v>
      </c>
      <c r="V28">
        <f t="shared" si="4"/>
        <v>2024</v>
      </c>
      <c r="W28">
        <f t="shared" si="5"/>
        <v>12</v>
      </c>
      <c r="X28">
        <f t="shared" si="6"/>
        <v>17</v>
      </c>
      <c r="Y28" t="str">
        <f t="shared" si="7"/>
        <v>Dec</v>
      </c>
      <c r="Z28">
        <f t="shared" si="8"/>
        <v>2</v>
      </c>
      <c r="AC28" s="4"/>
    </row>
    <row r="29" spans="1:36" ht="15.75" customHeight="1" x14ac:dyDescent="0.3">
      <c r="A29" s="2" t="s">
        <v>121</v>
      </c>
      <c r="B29" s="2" t="s">
        <v>122</v>
      </c>
      <c r="C29" s="2" t="s">
        <v>42</v>
      </c>
      <c r="D29" s="2" t="s">
        <v>43</v>
      </c>
      <c r="E29" s="2" t="s">
        <v>44</v>
      </c>
      <c r="F29" s="2">
        <v>19</v>
      </c>
      <c r="G29" s="2">
        <v>352.92</v>
      </c>
      <c r="H29" s="2">
        <v>6705.48</v>
      </c>
      <c r="I29" s="2">
        <v>3564.37</v>
      </c>
      <c r="J29" s="2">
        <v>3141.11</v>
      </c>
      <c r="K29" s="3">
        <v>45666</v>
      </c>
      <c r="L29" s="3">
        <v>45675</v>
      </c>
      <c r="M29" s="2" t="s">
        <v>123</v>
      </c>
      <c r="N29" s="2">
        <v>2</v>
      </c>
      <c r="O29" s="2" t="s">
        <v>124</v>
      </c>
      <c r="P29" s="25">
        <v>8.5</v>
      </c>
      <c r="Q29" t="str">
        <f t="shared" si="0"/>
        <v>0028</v>
      </c>
      <c r="R29" t="str">
        <f>IF('RETAIL SALES DATA.'!H29&gt;AVERAGE('RETAIL SALES DATA.'!H29:H1028),"HIGHEST VALUE","LOWEST VALUE")</f>
        <v>LOWEST VALUE</v>
      </c>
      <c r="S29" t="str">
        <f t="shared" si="1"/>
        <v>Profit</v>
      </c>
      <c r="T29" t="str">
        <f t="shared" si="2"/>
        <v>Matthew Hanson</v>
      </c>
      <c r="U29" t="str">
        <f t="shared" si="3"/>
        <v>Laptop</v>
      </c>
      <c r="V29">
        <f t="shared" si="4"/>
        <v>2025</v>
      </c>
      <c r="W29">
        <f t="shared" si="5"/>
        <v>1</v>
      </c>
      <c r="X29">
        <f t="shared" si="6"/>
        <v>9</v>
      </c>
      <c r="Y29" t="str">
        <f t="shared" si="7"/>
        <v>Jan</v>
      </c>
      <c r="Z29">
        <f t="shared" si="8"/>
        <v>9</v>
      </c>
      <c r="AC29" s="4"/>
    </row>
    <row r="30" spans="1:36" ht="15.75" customHeight="1" x14ac:dyDescent="0.3">
      <c r="A30" s="2" t="s">
        <v>125</v>
      </c>
      <c r="B30" s="2" t="s">
        <v>126</v>
      </c>
      <c r="C30" s="2" t="s">
        <v>57</v>
      </c>
      <c r="D30" s="2" t="s">
        <v>19</v>
      </c>
      <c r="E30" s="2" t="s">
        <v>32</v>
      </c>
      <c r="F30" s="2">
        <v>18</v>
      </c>
      <c r="G30" s="2">
        <v>1397.43</v>
      </c>
      <c r="H30" s="2">
        <v>25153.74</v>
      </c>
      <c r="I30" s="2">
        <v>16703.28</v>
      </c>
      <c r="J30" s="2">
        <v>8450.4599999999991</v>
      </c>
      <c r="K30" s="3">
        <v>45843</v>
      </c>
      <c r="L30" s="3">
        <v>45846</v>
      </c>
      <c r="M30" s="2" t="s">
        <v>26</v>
      </c>
      <c r="N30" s="2">
        <v>2</v>
      </c>
      <c r="O30" s="2" t="s">
        <v>127</v>
      </c>
      <c r="P30" s="25">
        <v>8.9</v>
      </c>
      <c r="Q30" t="str">
        <f t="shared" si="0"/>
        <v>0029</v>
      </c>
      <c r="R30" t="str">
        <f>IF('RETAIL SALES DATA.'!H30&gt;AVERAGE('RETAIL SALES DATA.'!H30:H1029),"HIGHEST VALUE","LOWEST VALUE")</f>
        <v>LOWEST VALUE</v>
      </c>
      <c r="S30" t="str">
        <f t="shared" si="1"/>
        <v>Profit</v>
      </c>
      <c r="T30" t="str">
        <f t="shared" si="2"/>
        <v>Jamie Benton</v>
      </c>
      <c r="U30" t="str">
        <f t="shared" si="3"/>
        <v>Notebook</v>
      </c>
      <c r="V30">
        <f t="shared" si="4"/>
        <v>2025</v>
      </c>
      <c r="W30">
        <f t="shared" si="5"/>
        <v>7</v>
      </c>
      <c r="X30">
        <f t="shared" si="6"/>
        <v>5</v>
      </c>
      <c r="Y30" t="str">
        <f t="shared" si="7"/>
        <v>Jul</v>
      </c>
      <c r="Z30">
        <f t="shared" si="8"/>
        <v>3</v>
      </c>
    </row>
    <row r="31" spans="1:36" ht="15.75" customHeight="1" x14ac:dyDescent="0.3">
      <c r="A31" s="2" t="s">
        <v>128</v>
      </c>
      <c r="B31" s="2" t="s">
        <v>129</v>
      </c>
      <c r="C31" s="2" t="s">
        <v>18</v>
      </c>
      <c r="D31" s="2" t="s">
        <v>19</v>
      </c>
      <c r="E31" s="2" t="s">
        <v>20</v>
      </c>
      <c r="F31" s="2">
        <v>17</v>
      </c>
      <c r="G31" s="2">
        <v>4186.24</v>
      </c>
      <c r="H31" s="2">
        <v>71166.080000000002</v>
      </c>
      <c r="I31" s="2">
        <v>58945.05</v>
      </c>
      <c r="J31" s="2">
        <v>12221.03</v>
      </c>
      <c r="K31" s="3">
        <v>45813</v>
      </c>
      <c r="L31" s="3">
        <v>45819</v>
      </c>
      <c r="M31" s="2" t="s">
        <v>50</v>
      </c>
      <c r="N31" s="2">
        <v>4</v>
      </c>
      <c r="O31" s="2" t="s">
        <v>130</v>
      </c>
      <c r="P31" s="25">
        <v>6.3</v>
      </c>
      <c r="Q31" t="str">
        <f t="shared" si="0"/>
        <v>0030</v>
      </c>
      <c r="R31" t="str">
        <f>IF('RETAIL SALES DATA.'!H31&gt;AVERAGE('RETAIL SALES DATA.'!H31:H1030),"HIGHEST VALUE","LOWEST VALUE")</f>
        <v>HIGHEST VALUE</v>
      </c>
      <c r="S31" t="str">
        <f t="shared" si="1"/>
        <v>Profit</v>
      </c>
      <c r="T31" t="str">
        <f t="shared" si="2"/>
        <v>Kristy Sullivan</v>
      </c>
      <c r="U31" t="str">
        <f t="shared" si="3"/>
        <v>Pen</v>
      </c>
      <c r="V31">
        <f t="shared" si="4"/>
        <v>2025</v>
      </c>
      <c r="W31">
        <f t="shared" si="5"/>
        <v>6</v>
      </c>
      <c r="X31">
        <f t="shared" si="6"/>
        <v>5</v>
      </c>
      <c r="Y31" t="str">
        <f t="shared" si="7"/>
        <v>Jun</v>
      </c>
      <c r="Z31">
        <f t="shared" si="8"/>
        <v>6</v>
      </c>
      <c r="AC31" s="6" t="s">
        <v>2330</v>
      </c>
      <c r="AD31">
        <f>MAX(Table13[DELIVERY DATE])</f>
        <v>10</v>
      </c>
    </row>
    <row r="32" spans="1:36" ht="15.75" customHeight="1" x14ac:dyDescent="0.3">
      <c r="A32" s="2" t="s">
        <v>131</v>
      </c>
      <c r="B32" s="2" t="s">
        <v>132</v>
      </c>
      <c r="C32" s="2" t="s">
        <v>18</v>
      </c>
      <c r="D32" s="2" t="s">
        <v>19</v>
      </c>
      <c r="E32" s="2" t="s">
        <v>32</v>
      </c>
      <c r="F32" s="2">
        <v>1</v>
      </c>
      <c r="G32" s="2">
        <v>2612.0300000000002</v>
      </c>
      <c r="H32" s="2">
        <v>2612.0300000000002</v>
      </c>
      <c r="I32" s="2">
        <v>1575.12</v>
      </c>
      <c r="J32" s="2">
        <v>1036.9100000000001</v>
      </c>
      <c r="K32" s="3">
        <v>45480</v>
      </c>
      <c r="L32" s="3">
        <v>45485</v>
      </c>
      <c r="M32" s="2" t="s">
        <v>38</v>
      </c>
      <c r="N32" s="2">
        <v>3</v>
      </c>
      <c r="O32" s="2" t="s">
        <v>133</v>
      </c>
      <c r="P32" s="25">
        <v>6.5</v>
      </c>
      <c r="Q32" t="str">
        <f t="shared" si="0"/>
        <v>0031</v>
      </c>
      <c r="R32" t="str">
        <f>IF('RETAIL SALES DATA.'!H32&gt;AVERAGE('RETAIL SALES DATA.'!H32:H1031),"HIGHEST VALUE","LOWEST VALUE")</f>
        <v>LOWEST VALUE</v>
      </c>
      <c r="S32" t="str">
        <f t="shared" si="1"/>
        <v>Profit</v>
      </c>
      <c r="T32" t="str">
        <f t="shared" si="2"/>
        <v>Carolyn Scott</v>
      </c>
      <c r="U32" t="str">
        <f t="shared" si="3"/>
        <v>Pen</v>
      </c>
      <c r="V32">
        <f t="shared" si="4"/>
        <v>2024</v>
      </c>
      <c r="W32">
        <f t="shared" si="5"/>
        <v>7</v>
      </c>
      <c r="X32">
        <f t="shared" si="6"/>
        <v>7</v>
      </c>
      <c r="Y32" t="str">
        <f t="shared" si="7"/>
        <v>Jul</v>
      </c>
      <c r="Z32">
        <f t="shared" si="8"/>
        <v>5</v>
      </c>
      <c r="AC32" s="6" t="s">
        <v>2331</v>
      </c>
      <c r="AD32" s="6">
        <f>MIN(Table13[DELIVERY DATE])</f>
        <v>1</v>
      </c>
      <c r="AI32" s="6"/>
    </row>
    <row r="33" spans="1:35" ht="15.75" customHeight="1" x14ac:dyDescent="0.3">
      <c r="A33" s="2" t="s">
        <v>134</v>
      </c>
      <c r="B33" s="2" t="s">
        <v>135</v>
      </c>
      <c r="C33" s="2" t="s">
        <v>72</v>
      </c>
      <c r="D33" s="2" t="s">
        <v>31</v>
      </c>
      <c r="E33" s="2" t="s">
        <v>32</v>
      </c>
      <c r="F33" s="2">
        <v>13</v>
      </c>
      <c r="G33" s="2">
        <v>3740.17</v>
      </c>
      <c r="H33" s="2">
        <v>48622.21</v>
      </c>
      <c r="I33" s="2">
        <v>41341.160000000003</v>
      </c>
      <c r="J33" s="2">
        <v>7281.05</v>
      </c>
      <c r="K33" s="3">
        <v>45808</v>
      </c>
      <c r="L33" s="3">
        <v>45812</v>
      </c>
      <c r="M33" s="2" t="s">
        <v>21</v>
      </c>
      <c r="N33" s="2">
        <v>3</v>
      </c>
      <c r="O33" s="2" t="s">
        <v>136</v>
      </c>
      <c r="P33" s="25">
        <v>6.3</v>
      </c>
      <c r="Q33" t="str">
        <f t="shared" si="0"/>
        <v>0032</v>
      </c>
      <c r="R33" t="str">
        <f>IF('RETAIL SALES DATA.'!H33&gt;AVERAGE('RETAIL SALES DATA.'!H33:H1032),"HIGHEST VALUE","LOWEST VALUE")</f>
        <v>HIGHEST VALUE</v>
      </c>
      <c r="S33" t="str">
        <f t="shared" si="1"/>
        <v>Profit</v>
      </c>
      <c r="T33" t="str">
        <f t="shared" si="2"/>
        <v>Mary Day</v>
      </c>
      <c r="U33" t="str">
        <f t="shared" si="3"/>
        <v>Chair</v>
      </c>
      <c r="V33">
        <f t="shared" si="4"/>
        <v>2025</v>
      </c>
      <c r="W33">
        <f t="shared" si="5"/>
        <v>6</v>
      </c>
      <c r="X33">
        <f t="shared" si="6"/>
        <v>31</v>
      </c>
      <c r="Y33" t="str">
        <f t="shared" si="7"/>
        <v>May</v>
      </c>
      <c r="Z33">
        <f t="shared" si="8"/>
        <v>4</v>
      </c>
      <c r="AI33" s="6" t="s">
        <v>2336</v>
      </c>
    </row>
    <row r="34" spans="1:35" ht="15.75" customHeight="1" x14ac:dyDescent="0.3">
      <c r="A34" s="2" t="s">
        <v>137</v>
      </c>
      <c r="B34" s="2" t="s">
        <v>138</v>
      </c>
      <c r="C34" s="2" t="s">
        <v>139</v>
      </c>
      <c r="D34" s="2" t="s">
        <v>31</v>
      </c>
      <c r="E34" s="2" t="s">
        <v>44</v>
      </c>
      <c r="F34" s="2">
        <v>12</v>
      </c>
      <c r="G34" s="2">
        <v>3480.93</v>
      </c>
      <c r="H34" s="2">
        <v>41771.160000000003</v>
      </c>
      <c r="I34" s="2">
        <v>23955</v>
      </c>
      <c r="J34" s="2">
        <v>17816.16</v>
      </c>
      <c r="K34" s="3">
        <v>46026</v>
      </c>
      <c r="L34" s="3">
        <v>46032</v>
      </c>
      <c r="M34" s="2" t="s">
        <v>21</v>
      </c>
      <c r="N34" s="2">
        <v>2</v>
      </c>
      <c r="O34" s="2" t="s">
        <v>73</v>
      </c>
      <c r="P34" s="25">
        <v>7</v>
      </c>
      <c r="Q34" t="str">
        <f t="shared" si="0"/>
        <v>0033</v>
      </c>
      <c r="R34" t="str">
        <f>IF('RETAIL SALES DATA.'!H34&gt;AVERAGE('RETAIL SALES DATA.'!H34:H1033),"HIGHEST VALUE","LOWEST VALUE")</f>
        <v>HIGHEST VALUE</v>
      </c>
      <c r="S34" t="str">
        <f t="shared" si="1"/>
        <v>Profit</v>
      </c>
      <c r="T34" t="str">
        <f t="shared" si="2"/>
        <v>Matthew Fernandez</v>
      </c>
      <c r="U34" t="str">
        <f t="shared" si="3"/>
        <v>Sofa</v>
      </c>
      <c r="V34">
        <f t="shared" si="4"/>
        <v>2026</v>
      </c>
      <c r="W34">
        <f t="shared" si="5"/>
        <v>1</v>
      </c>
      <c r="X34">
        <f t="shared" si="6"/>
        <v>4</v>
      </c>
      <c r="Y34" t="str">
        <f t="shared" si="7"/>
        <v>Jan</v>
      </c>
      <c r="Z34">
        <f t="shared" si="8"/>
        <v>6</v>
      </c>
      <c r="AI34" t="s">
        <v>2316</v>
      </c>
    </row>
    <row r="35" spans="1:35" ht="15.75" customHeight="1" x14ac:dyDescent="0.3">
      <c r="A35" s="2" t="s">
        <v>140</v>
      </c>
      <c r="B35" s="2" t="s">
        <v>141</v>
      </c>
      <c r="C35" s="2" t="s">
        <v>95</v>
      </c>
      <c r="D35" s="2" t="s">
        <v>19</v>
      </c>
      <c r="E35" s="2" t="s">
        <v>32</v>
      </c>
      <c r="F35" s="2">
        <v>18</v>
      </c>
      <c r="G35" s="2">
        <v>4419.1000000000004</v>
      </c>
      <c r="H35" s="2">
        <v>79543.8</v>
      </c>
      <c r="I35" s="2">
        <v>47654.84</v>
      </c>
      <c r="J35" s="2">
        <v>31888.959999999999</v>
      </c>
      <c r="K35" s="3">
        <v>45629</v>
      </c>
      <c r="L35" s="3">
        <v>45639</v>
      </c>
      <c r="M35" s="2" t="s">
        <v>50</v>
      </c>
      <c r="N35" s="2">
        <v>4</v>
      </c>
      <c r="O35" s="2" t="s">
        <v>79</v>
      </c>
      <c r="P35" s="25">
        <v>7.7</v>
      </c>
      <c r="Q35" t="str">
        <f t="shared" si="0"/>
        <v>0034</v>
      </c>
      <c r="R35" t="str">
        <f>IF('RETAIL SALES DATA.'!H35&gt;AVERAGE('RETAIL SALES DATA.'!H35:H1034),"HIGHEST VALUE","LOWEST VALUE")</f>
        <v>HIGHEST VALUE</v>
      </c>
      <c r="S35" t="str">
        <f t="shared" si="1"/>
        <v>Profit</v>
      </c>
      <c r="T35" t="str">
        <f t="shared" si="2"/>
        <v>Tonya Gallegos</v>
      </c>
      <c r="U35" t="str">
        <f t="shared" si="3"/>
        <v>Printer</v>
      </c>
      <c r="V35">
        <f t="shared" si="4"/>
        <v>2024</v>
      </c>
      <c r="W35">
        <f t="shared" si="5"/>
        <v>12</v>
      </c>
      <c r="X35">
        <f t="shared" si="6"/>
        <v>3</v>
      </c>
      <c r="Y35" t="str">
        <f t="shared" si="7"/>
        <v>Dec</v>
      </c>
      <c r="Z35">
        <f t="shared" si="8"/>
        <v>10</v>
      </c>
      <c r="AI35" t="s">
        <v>2320</v>
      </c>
    </row>
    <row r="36" spans="1:35" ht="15.75" customHeight="1" x14ac:dyDescent="0.3">
      <c r="A36" s="2" t="s">
        <v>142</v>
      </c>
      <c r="B36" s="2" t="s">
        <v>143</v>
      </c>
      <c r="C36" s="2" t="s">
        <v>144</v>
      </c>
      <c r="D36" s="2" t="s">
        <v>19</v>
      </c>
      <c r="E36" s="2" t="s">
        <v>20</v>
      </c>
      <c r="F36" s="2">
        <v>10</v>
      </c>
      <c r="G36" s="2">
        <v>4243.55</v>
      </c>
      <c r="H36" s="2">
        <v>42435.5</v>
      </c>
      <c r="I36" s="2">
        <v>29127.759999999998</v>
      </c>
      <c r="J36" s="2">
        <v>13307.74</v>
      </c>
      <c r="K36" s="3">
        <v>45916</v>
      </c>
      <c r="L36" s="3">
        <v>45925</v>
      </c>
      <c r="M36" s="2" t="s">
        <v>69</v>
      </c>
      <c r="N36" s="2">
        <v>2</v>
      </c>
      <c r="O36" s="2" t="s">
        <v>145</v>
      </c>
      <c r="P36" s="25">
        <v>9.4</v>
      </c>
      <c r="Q36" t="str">
        <f t="shared" si="0"/>
        <v>0035</v>
      </c>
      <c r="R36" t="str">
        <f>IF('RETAIL SALES DATA.'!H36&gt;AVERAGE('RETAIL SALES DATA.'!H36:H1035),"HIGHEST VALUE","LOWEST VALUE")</f>
        <v>HIGHEST VALUE</v>
      </c>
      <c r="S36" t="str">
        <f t="shared" si="1"/>
        <v>Profit</v>
      </c>
      <c r="T36" t="str">
        <f t="shared" si="2"/>
        <v>Jody Black</v>
      </c>
      <c r="U36" t="str">
        <f t="shared" si="3"/>
        <v>File</v>
      </c>
      <c r="V36">
        <f t="shared" si="4"/>
        <v>2025</v>
      </c>
      <c r="W36">
        <f t="shared" si="5"/>
        <v>9</v>
      </c>
      <c r="X36">
        <f t="shared" si="6"/>
        <v>16</v>
      </c>
      <c r="Y36" t="str">
        <f t="shared" si="7"/>
        <v>Sep</v>
      </c>
      <c r="Z36">
        <f t="shared" si="8"/>
        <v>9</v>
      </c>
      <c r="AI36" t="s">
        <v>2323</v>
      </c>
    </row>
    <row r="37" spans="1:35" ht="15.75" customHeight="1" x14ac:dyDescent="0.3">
      <c r="A37" s="2" t="s">
        <v>146</v>
      </c>
      <c r="B37" s="2" t="s">
        <v>147</v>
      </c>
      <c r="C37" s="2" t="s">
        <v>144</v>
      </c>
      <c r="D37" s="2" t="s">
        <v>19</v>
      </c>
      <c r="E37" s="2" t="s">
        <v>44</v>
      </c>
      <c r="F37" s="2">
        <v>16</v>
      </c>
      <c r="G37" s="2">
        <v>2535.1799999999998</v>
      </c>
      <c r="H37" s="2">
        <v>40562.879999999997</v>
      </c>
      <c r="I37" s="2">
        <v>31992.98</v>
      </c>
      <c r="J37" s="2">
        <v>8569.9</v>
      </c>
      <c r="K37" s="3">
        <v>46117</v>
      </c>
      <c r="L37" s="3">
        <v>46121</v>
      </c>
      <c r="M37" s="2" t="s">
        <v>45</v>
      </c>
      <c r="N37" s="2">
        <v>2</v>
      </c>
      <c r="O37" s="2" t="s">
        <v>148</v>
      </c>
      <c r="P37" s="25">
        <v>9.4</v>
      </c>
      <c r="Q37" t="str">
        <f t="shared" si="0"/>
        <v>0036</v>
      </c>
      <c r="R37" t="str">
        <f>IF('RETAIL SALES DATA.'!H37&gt;AVERAGE('RETAIL SALES DATA.'!H37:H1036),"HIGHEST VALUE","LOWEST VALUE")</f>
        <v>HIGHEST VALUE</v>
      </c>
      <c r="S37" t="str">
        <f t="shared" si="1"/>
        <v>Profit</v>
      </c>
      <c r="T37" t="str">
        <f t="shared" si="2"/>
        <v>Laurie Flores</v>
      </c>
      <c r="U37" t="str">
        <f t="shared" si="3"/>
        <v>File</v>
      </c>
      <c r="V37">
        <f t="shared" si="4"/>
        <v>2026</v>
      </c>
      <c r="W37">
        <f t="shared" si="5"/>
        <v>4</v>
      </c>
      <c r="X37">
        <f t="shared" si="6"/>
        <v>5</v>
      </c>
      <c r="Y37" t="str">
        <f t="shared" si="7"/>
        <v>Apr</v>
      </c>
      <c r="Z37">
        <f t="shared" si="8"/>
        <v>4</v>
      </c>
      <c r="AC37">
        <f>SUMIF(Table13[YEAR],V987,H2:H1001)</f>
        <v>13413606.270000013</v>
      </c>
      <c r="AI37" t="s">
        <v>2324</v>
      </c>
    </row>
    <row r="38" spans="1:35" ht="15.75" customHeight="1" x14ac:dyDescent="0.3">
      <c r="A38" s="2" t="s">
        <v>149</v>
      </c>
      <c r="B38" s="2" t="s">
        <v>150</v>
      </c>
      <c r="C38" s="2" t="s">
        <v>49</v>
      </c>
      <c r="D38" s="2" t="s">
        <v>43</v>
      </c>
      <c r="E38" s="2" t="s">
        <v>32</v>
      </c>
      <c r="F38" s="2">
        <v>10</v>
      </c>
      <c r="G38" s="2">
        <v>2467.5700000000002</v>
      </c>
      <c r="H38" s="2">
        <v>24675.7</v>
      </c>
      <c r="I38" s="2">
        <v>16242.09</v>
      </c>
      <c r="J38" s="2">
        <v>8433.61</v>
      </c>
      <c r="K38" s="3">
        <v>45913</v>
      </c>
      <c r="L38" s="3">
        <v>45917</v>
      </c>
      <c r="M38" s="2" t="s">
        <v>21</v>
      </c>
      <c r="N38" s="2">
        <v>3</v>
      </c>
      <c r="O38" s="2" t="s">
        <v>151</v>
      </c>
      <c r="P38" s="25">
        <v>6.1</v>
      </c>
      <c r="Q38" t="str">
        <f t="shared" si="0"/>
        <v>0037</v>
      </c>
      <c r="R38" t="str">
        <f>IF('RETAIL SALES DATA.'!H38&gt;AVERAGE('RETAIL SALES DATA.'!H38:H1037),"HIGHEST VALUE","LOWEST VALUE")</f>
        <v>LOWEST VALUE</v>
      </c>
      <c r="S38" t="str">
        <f t="shared" si="1"/>
        <v>Profit</v>
      </c>
      <c r="T38" t="str">
        <f t="shared" si="2"/>
        <v>Charles Logan</v>
      </c>
      <c r="U38" t="str">
        <f t="shared" si="3"/>
        <v>Mouse</v>
      </c>
      <c r="V38">
        <f t="shared" si="4"/>
        <v>2025</v>
      </c>
      <c r="W38">
        <f t="shared" si="5"/>
        <v>9</v>
      </c>
      <c r="X38">
        <f t="shared" si="6"/>
        <v>13</v>
      </c>
      <c r="Y38" t="str">
        <f t="shared" si="7"/>
        <v>Sep</v>
      </c>
      <c r="Z38">
        <f t="shared" si="8"/>
        <v>4</v>
      </c>
      <c r="AI38" t="s">
        <v>2317</v>
      </c>
    </row>
    <row r="39" spans="1:35" ht="15.75" customHeight="1" x14ac:dyDescent="0.3">
      <c r="A39" s="2" t="s">
        <v>152</v>
      </c>
      <c r="B39" s="2" t="s">
        <v>153</v>
      </c>
      <c r="C39" s="2" t="s">
        <v>139</v>
      </c>
      <c r="D39" s="2" t="s">
        <v>31</v>
      </c>
      <c r="E39" s="2" t="s">
        <v>20</v>
      </c>
      <c r="F39" s="2">
        <v>7</v>
      </c>
      <c r="G39" s="2">
        <v>3511.87</v>
      </c>
      <c r="H39" s="2">
        <v>24583.09</v>
      </c>
      <c r="I39" s="2">
        <v>14650.99</v>
      </c>
      <c r="J39" s="2">
        <v>9932.1</v>
      </c>
      <c r="K39" s="3">
        <v>45726</v>
      </c>
      <c r="L39" s="3">
        <v>45728</v>
      </c>
      <c r="M39" s="2" t="s">
        <v>21</v>
      </c>
      <c r="N39" s="2">
        <v>5</v>
      </c>
      <c r="O39" s="2" t="s">
        <v>154</v>
      </c>
      <c r="P39" s="25">
        <v>7.5</v>
      </c>
      <c r="Q39" t="str">
        <f t="shared" si="0"/>
        <v>0038</v>
      </c>
      <c r="R39" t="str">
        <f>IF('RETAIL SALES DATA.'!H39&gt;AVERAGE('RETAIL SALES DATA.'!H39:H1038),"HIGHEST VALUE","LOWEST VALUE")</f>
        <v>LOWEST VALUE</v>
      </c>
      <c r="S39" t="str">
        <f t="shared" si="1"/>
        <v>Profit</v>
      </c>
      <c r="T39" t="str">
        <f t="shared" si="2"/>
        <v>Lori Petersen</v>
      </c>
      <c r="U39" t="str">
        <f t="shared" si="3"/>
        <v>Sofa</v>
      </c>
      <c r="V39">
        <f t="shared" si="4"/>
        <v>2025</v>
      </c>
      <c r="W39">
        <f t="shared" si="5"/>
        <v>3</v>
      </c>
      <c r="X39">
        <f t="shared" si="6"/>
        <v>10</v>
      </c>
      <c r="Y39" t="str">
        <f t="shared" si="7"/>
        <v>Mar</v>
      </c>
      <c r="Z39">
        <f t="shared" si="8"/>
        <v>2</v>
      </c>
      <c r="AI39" t="s">
        <v>2322</v>
      </c>
    </row>
    <row r="40" spans="1:35" ht="15.75" customHeight="1" x14ac:dyDescent="0.3">
      <c r="A40" s="2" t="s">
        <v>155</v>
      </c>
      <c r="B40" s="2" t="s">
        <v>156</v>
      </c>
      <c r="C40" s="2" t="s">
        <v>72</v>
      </c>
      <c r="D40" s="2" t="s">
        <v>31</v>
      </c>
      <c r="E40" s="2" t="s">
        <v>25</v>
      </c>
      <c r="F40" s="2">
        <v>3</v>
      </c>
      <c r="G40" s="2">
        <v>2167.58</v>
      </c>
      <c r="H40" s="2">
        <v>6502.74</v>
      </c>
      <c r="I40" s="2">
        <v>5214.8100000000004</v>
      </c>
      <c r="J40" s="2">
        <v>1287.93</v>
      </c>
      <c r="K40" s="3">
        <v>45752</v>
      </c>
      <c r="L40" s="3">
        <v>45761</v>
      </c>
      <c r="M40" s="2" t="s">
        <v>50</v>
      </c>
      <c r="N40" s="2">
        <v>5</v>
      </c>
      <c r="O40" s="2" t="s">
        <v>82</v>
      </c>
      <c r="P40" s="25">
        <v>8.4</v>
      </c>
      <c r="Q40" t="str">
        <f t="shared" si="0"/>
        <v>0039</v>
      </c>
      <c r="R40" t="str">
        <f>IF('RETAIL SALES DATA.'!H40&gt;AVERAGE('RETAIL SALES DATA.'!H40:H1039),"HIGHEST VALUE","LOWEST VALUE")</f>
        <v>LOWEST VALUE</v>
      </c>
      <c r="S40" t="str">
        <f t="shared" si="1"/>
        <v>Profit</v>
      </c>
      <c r="T40" t="str">
        <f t="shared" si="2"/>
        <v>Roger Gutierrez</v>
      </c>
      <c r="U40" t="str">
        <f t="shared" si="3"/>
        <v>Chair</v>
      </c>
      <c r="V40">
        <f t="shared" si="4"/>
        <v>2025</v>
      </c>
      <c r="W40">
        <f t="shared" si="5"/>
        <v>4</v>
      </c>
      <c r="X40">
        <f t="shared" si="6"/>
        <v>5</v>
      </c>
      <c r="Y40" t="str">
        <f t="shared" si="7"/>
        <v>Apr</v>
      </c>
      <c r="Z40">
        <f t="shared" si="8"/>
        <v>9</v>
      </c>
      <c r="AI40" t="s">
        <v>2318</v>
      </c>
    </row>
    <row r="41" spans="1:35" ht="15.75" customHeight="1" x14ac:dyDescent="0.3">
      <c r="A41" s="2" t="s">
        <v>157</v>
      </c>
      <c r="B41" s="2" t="s">
        <v>158</v>
      </c>
      <c r="C41" s="2" t="s">
        <v>18</v>
      </c>
      <c r="D41" s="2" t="s">
        <v>19</v>
      </c>
      <c r="E41" s="2" t="s">
        <v>32</v>
      </c>
      <c r="F41" s="2">
        <v>2</v>
      </c>
      <c r="G41" s="2">
        <v>326.99</v>
      </c>
      <c r="H41" s="2">
        <v>653.98</v>
      </c>
      <c r="I41" s="2">
        <v>374.73</v>
      </c>
      <c r="J41" s="2">
        <v>279.25</v>
      </c>
      <c r="K41" s="3">
        <v>45799</v>
      </c>
      <c r="L41" s="3">
        <v>45803</v>
      </c>
      <c r="M41" s="2" t="s">
        <v>33</v>
      </c>
      <c r="N41" s="2">
        <v>1</v>
      </c>
      <c r="O41" s="2" t="s">
        <v>159</v>
      </c>
      <c r="P41" s="25">
        <v>6.8</v>
      </c>
      <c r="Q41" t="str">
        <f t="shared" si="0"/>
        <v>0040</v>
      </c>
      <c r="R41" t="str">
        <f>IF('RETAIL SALES DATA.'!H41&gt;AVERAGE('RETAIL SALES DATA.'!H41:H1040),"HIGHEST VALUE","LOWEST VALUE")</f>
        <v>LOWEST VALUE</v>
      </c>
      <c r="S41" t="str">
        <f t="shared" si="1"/>
        <v>Profit</v>
      </c>
      <c r="T41" t="str">
        <f t="shared" si="2"/>
        <v>Arthur Anderson</v>
      </c>
      <c r="U41" t="str">
        <f t="shared" si="3"/>
        <v>Pen</v>
      </c>
      <c r="V41">
        <f t="shared" si="4"/>
        <v>2025</v>
      </c>
      <c r="W41">
        <f t="shared" si="5"/>
        <v>5</v>
      </c>
      <c r="X41">
        <f t="shared" si="6"/>
        <v>22</v>
      </c>
      <c r="Y41" t="str">
        <f t="shared" si="7"/>
        <v>May</v>
      </c>
      <c r="Z41">
        <f t="shared" si="8"/>
        <v>4</v>
      </c>
      <c r="AI41" t="s">
        <v>2325</v>
      </c>
    </row>
    <row r="42" spans="1:35" ht="15.75" customHeight="1" x14ac:dyDescent="0.3">
      <c r="A42" s="2" t="s">
        <v>160</v>
      </c>
      <c r="B42" s="2" t="s">
        <v>161</v>
      </c>
      <c r="C42" s="2" t="s">
        <v>37</v>
      </c>
      <c r="D42" s="2" t="s">
        <v>19</v>
      </c>
      <c r="E42" s="2" t="s">
        <v>25</v>
      </c>
      <c r="F42" s="2">
        <v>12</v>
      </c>
      <c r="G42" s="2">
        <v>1376.34</v>
      </c>
      <c r="H42" s="2">
        <v>16516.080000000002</v>
      </c>
      <c r="I42" s="2">
        <v>10337.790000000001</v>
      </c>
      <c r="J42" s="2">
        <v>6178.29</v>
      </c>
      <c r="K42" s="3">
        <v>45635</v>
      </c>
      <c r="L42" s="3">
        <v>45637</v>
      </c>
      <c r="M42" s="2" t="s">
        <v>45</v>
      </c>
      <c r="N42" s="2">
        <v>5</v>
      </c>
      <c r="O42" s="2" t="s">
        <v>162</v>
      </c>
      <c r="P42" s="25">
        <v>8.1999999999999993</v>
      </c>
      <c r="Q42" t="str">
        <f t="shared" si="0"/>
        <v>0041</v>
      </c>
      <c r="R42" t="str">
        <f>IF('RETAIL SALES DATA.'!H42&gt;AVERAGE('RETAIL SALES DATA.'!H42:H1041),"HIGHEST VALUE","LOWEST VALUE")</f>
        <v>LOWEST VALUE</v>
      </c>
      <c r="S42" t="str">
        <f t="shared" si="1"/>
        <v>Profit</v>
      </c>
      <c r="T42" t="str">
        <f t="shared" si="2"/>
        <v>April Schmidt</v>
      </c>
      <c r="U42" t="str">
        <f t="shared" si="3"/>
        <v>Marker</v>
      </c>
      <c r="V42">
        <f t="shared" si="4"/>
        <v>2024</v>
      </c>
      <c r="W42">
        <f t="shared" si="5"/>
        <v>12</v>
      </c>
      <c r="X42">
        <f t="shared" si="6"/>
        <v>9</v>
      </c>
      <c r="Y42" t="str">
        <f t="shared" si="7"/>
        <v>Dec</v>
      </c>
      <c r="Z42">
        <f t="shared" si="8"/>
        <v>2</v>
      </c>
      <c r="AI42" t="s">
        <v>2315</v>
      </c>
    </row>
    <row r="43" spans="1:35" ht="15.75" customHeight="1" x14ac:dyDescent="0.3">
      <c r="A43" s="2" t="s">
        <v>163</v>
      </c>
      <c r="B43" s="2" t="s">
        <v>164</v>
      </c>
      <c r="C43" s="2" t="s">
        <v>62</v>
      </c>
      <c r="D43" s="2" t="s">
        <v>31</v>
      </c>
      <c r="E43" s="2" t="s">
        <v>20</v>
      </c>
      <c r="F43" s="2">
        <v>8</v>
      </c>
      <c r="G43" s="2">
        <v>2932.22</v>
      </c>
      <c r="H43" s="2">
        <v>23457.759999999998</v>
      </c>
      <c r="I43" s="2">
        <v>13646.01</v>
      </c>
      <c r="J43" s="2">
        <v>9811.75</v>
      </c>
      <c r="K43" s="3">
        <v>45992</v>
      </c>
      <c r="L43" s="3">
        <v>45994</v>
      </c>
      <c r="M43" s="2" t="s">
        <v>21</v>
      </c>
      <c r="N43" s="2">
        <v>3</v>
      </c>
      <c r="O43" s="2" t="s">
        <v>165</v>
      </c>
      <c r="P43" s="25">
        <v>6.1</v>
      </c>
      <c r="Q43" t="str">
        <f t="shared" si="0"/>
        <v>0042</v>
      </c>
      <c r="R43" t="str">
        <f>IF('RETAIL SALES DATA.'!H43&gt;AVERAGE('RETAIL SALES DATA.'!H43:H1042),"HIGHEST VALUE","LOWEST VALUE")</f>
        <v>LOWEST VALUE</v>
      </c>
      <c r="S43" t="str">
        <f t="shared" si="1"/>
        <v>Profit</v>
      </c>
      <c r="T43" t="str">
        <f t="shared" si="2"/>
        <v>Amanda Holmes</v>
      </c>
      <c r="U43" t="str">
        <f t="shared" si="3"/>
        <v>Table</v>
      </c>
      <c r="V43">
        <f t="shared" si="4"/>
        <v>2025</v>
      </c>
      <c r="W43">
        <f t="shared" si="5"/>
        <v>12</v>
      </c>
      <c r="X43">
        <f t="shared" si="6"/>
        <v>1</v>
      </c>
      <c r="Y43" t="str">
        <f t="shared" si="7"/>
        <v>Dec</v>
      </c>
      <c r="Z43">
        <f t="shared" si="8"/>
        <v>2</v>
      </c>
      <c r="AE43" t="str" cm="1">
        <f t="array" ref="AE43:AE54">_xlfn.UNIQUE(Table13[MONTH2])</f>
        <v>Sep</v>
      </c>
      <c r="AI43" t="s">
        <v>2326</v>
      </c>
    </row>
    <row r="44" spans="1:35" ht="15.75" customHeight="1" x14ac:dyDescent="0.3">
      <c r="A44" s="2" t="s">
        <v>166</v>
      </c>
      <c r="B44" s="2" t="s">
        <v>167</v>
      </c>
      <c r="C44" s="2" t="s">
        <v>168</v>
      </c>
      <c r="D44" s="2" t="s">
        <v>43</v>
      </c>
      <c r="E44" s="2" t="s">
        <v>25</v>
      </c>
      <c r="F44" s="2">
        <v>5</v>
      </c>
      <c r="G44" s="2">
        <v>3777.49</v>
      </c>
      <c r="H44" s="2">
        <v>18887.45</v>
      </c>
      <c r="I44" s="2">
        <v>10978.7</v>
      </c>
      <c r="J44" s="2">
        <v>7908.75</v>
      </c>
      <c r="K44" s="3">
        <v>46132</v>
      </c>
      <c r="L44" s="3">
        <v>46135</v>
      </c>
      <c r="M44" s="2" t="s">
        <v>123</v>
      </c>
      <c r="N44" s="2">
        <v>2</v>
      </c>
      <c r="O44" s="2" t="s">
        <v>169</v>
      </c>
      <c r="P44" s="25">
        <v>6.1</v>
      </c>
      <c r="Q44" t="str">
        <f t="shared" si="0"/>
        <v>0043</v>
      </c>
      <c r="R44" t="str">
        <f>IF('RETAIL SALES DATA.'!H44&gt;AVERAGE('RETAIL SALES DATA.'!H44:H1043),"HIGHEST VALUE","LOWEST VALUE")</f>
        <v>LOWEST VALUE</v>
      </c>
      <c r="S44" t="str">
        <f t="shared" si="1"/>
        <v>Profit</v>
      </c>
      <c r="T44" t="str">
        <f t="shared" si="2"/>
        <v>Emily Norton</v>
      </c>
      <c r="U44" t="str">
        <f t="shared" si="3"/>
        <v>Keyboard</v>
      </c>
      <c r="V44">
        <f t="shared" si="4"/>
        <v>2026</v>
      </c>
      <c r="W44">
        <f t="shared" si="5"/>
        <v>4</v>
      </c>
      <c r="X44">
        <f t="shared" si="6"/>
        <v>20</v>
      </c>
      <c r="Y44" t="str">
        <f t="shared" si="7"/>
        <v>Apr</v>
      </c>
      <c r="Z44">
        <f t="shared" si="8"/>
        <v>3</v>
      </c>
      <c r="AE44" t="str">
        <v>Jan</v>
      </c>
      <c r="AI44" t="s">
        <v>2319</v>
      </c>
    </row>
    <row r="45" spans="1:35" ht="15.75" customHeight="1" x14ac:dyDescent="0.3">
      <c r="A45" s="2" t="s">
        <v>170</v>
      </c>
      <c r="B45" s="2" t="s">
        <v>171</v>
      </c>
      <c r="C45" s="2" t="s">
        <v>168</v>
      </c>
      <c r="D45" s="2" t="s">
        <v>43</v>
      </c>
      <c r="E45" s="2" t="s">
        <v>20</v>
      </c>
      <c r="F45" s="2">
        <v>3</v>
      </c>
      <c r="G45" s="2">
        <v>1195.02</v>
      </c>
      <c r="H45" s="2">
        <v>3585.06</v>
      </c>
      <c r="I45" s="2">
        <v>2786.04</v>
      </c>
      <c r="J45" s="2">
        <v>799.02</v>
      </c>
      <c r="K45" s="3">
        <v>46007</v>
      </c>
      <c r="L45" s="3">
        <v>46016</v>
      </c>
      <c r="M45" s="2" t="s">
        <v>123</v>
      </c>
      <c r="N45" s="2">
        <v>4</v>
      </c>
      <c r="O45" s="2" t="s">
        <v>172</v>
      </c>
      <c r="P45" s="25">
        <v>7.7</v>
      </c>
      <c r="Q45" t="str">
        <f t="shared" si="0"/>
        <v>0044</v>
      </c>
      <c r="R45" t="str">
        <f>IF('RETAIL SALES DATA.'!H45&gt;AVERAGE('RETAIL SALES DATA.'!H45:H1044),"HIGHEST VALUE","LOWEST VALUE")</f>
        <v>LOWEST VALUE</v>
      </c>
      <c r="S45" t="str">
        <f t="shared" si="1"/>
        <v>Profit</v>
      </c>
      <c r="T45" t="str">
        <f t="shared" si="2"/>
        <v>Rachel Hooper</v>
      </c>
      <c r="U45" t="str">
        <f t="shared" si="3"/>
        <v>Keyboard</v>
      </c>
      <c r="V45">
        <f t="shared" si="4"/>
        <v>2025</v>
      </c>
      <c r="W45">
        <f t="shared" si="5"/>
        <v>12</v>
      </c>
      <c r="X45">
        <f t="shared" si="6"/>
        <v>16</v>
      </c>
      <c r="Y45" t="str">
        <f t="shared" si="7"/>
        <v>Dec</v>
      </c>
      <c r="Z45">
        <f t="shared" si="8"/>
        <v>9</v>
      </c>
      <c r="AE45" t="str">
        <v>May</v>
      </c>
      <c r="AI45" t="s">
        <v>2321</v>
      </c>
    </row>
    <row r="46" spans="1:35" ht="15.75" customHeight="1" x14ac:dyDescent="0.3">
      <c r="A46" s="2" t="s">
        <v>173</v>
      </c>
      <c r="B46" s="2" t="s">
        <v>174</v>
      </c>
      <c r="C46" s="2" t="s">
        <v>95</v>
      </c>
      <c r="D46" s="2" t="s">
        <v>19</v>
      </c>
      <c r="E46" s="2" t="s">
        <v>20</v>
      </c>
      <c r="F46" s="2">
        <v>14</v>
      </c>
      <c r="G46" s="2">
        <v>1904.14</v>
      </c>
      <c r="H46" s="2">
        <v>26657.96</v>
      </c>
      <c r="I46" s="2">
        <v>19571.080000000002</v>
      </c>
      <c r="J46" s="2">
        <v>7086.88</v>
      </c>
      <c r="K46" s="3">
        <v>45538</v>
      </c>
      <c r="L46" s="3">
        <v>45544</v>
      </c>
      <c r="M46" s="2" t="s">
        <v>50</v>
      </c>
      <c r="N46" s="2">
        <v>2</v>
      </c>
      <c r="O46" s="2" t="s">
        <v>175</v>
      </c>
      <c r="P46" s="25">
        <v>8.9</v>
      </c>
      <c r="Q46" t="str">
        <f t="shared" si="0"/>
        <v>0045</v>
      </c>
      <c r="R46" t="str">
        <f>IF('RETAIL SALES DATA.'!H46&gt;AVERAGE('RETAIL SALES DATA.'!H46:H1045),"HIGHEST VALUE","LOWEST VALUE")</f>
        <v>HIGHEST VALUE</v>
      </c>
      <c r="S46" t="str">
        <f t="shared" si="1"/>
        <v>Profit</v>
      </c>
      <c r="T46" t="str">
        <f t="shared" si="2"/>
        <v>Douglas Herman</v>
      </c>
      <c r="U46" t="str">
        <f t="shared" si="3"/>
        <v>Printer</v>
      </c>
      <c r="V46">
        <f t="shared" si="4"/>
        <v>2024</v>
      </c>
      <c r="W46">
        <f t="shared" si="5"/>
        <v>9</v>
      </c>
      <c r="X46">
        <f t="shared" si="6"/>
        <v>3</v>
      </c>
      <c r="Y46" t="str">
        <f t="shared" si="7"/>
        <v>Sep</v>
      </c>
      <c r="Z46">
        <f t="shared" si="8"/>
        <v>6</v>
      </c>
      <c r="AE46" t="str">
        <v>Jul</v>
      </c>
    </row>
    <row r="47" spans="1:35" ht="15.75" customHeight="1" x14ac:dyDescent="0.3">
      <c r="A47" s="2" t="s">
        <v>176</v>
      </c>
      <c r="B47" s="2" t="s">
        <v>177</v>
      </c>
      <c r="C47" s="2" t="s">
        <v>49</v>
      </c>
      <c r="D47" s="2" t="s">
        <v>43</v>
      </c>
      <c r="E47" s="2" t="s">
        <v>20</v>
      </c>
      <c r="F47" s="2">
        <v>7</v>
      </c>
      <c r="G47" s="2">
        <v>1040.8</v>
      </c>
      <c r="H47" s="2">
        <v>7285.6</v>
      </c>
      <c r="I47" s="2">
        <v>5260.34</v>
      </c>
      <c r="J47" s="2">
        <v>2025.26</v>
      </c>
      <c r="K47" s="3">
        <v>45606</v>
      </c>
      <c r="L47" s="3">
        <v>45616</v>
      </c>
      <c r="M47" s="2" t="s">
        <v>50</v>
      </c>
      <c r="N47" s="2">
        <v>2</v>
      </c>
      <c r="O47" s="2" t="s">
        <v>178</v>
      </c>
      <c r="P47" s="25">
        <v>7.3</v>
      </c>
      <c r="Q47" t="str">
        <f t="shared" si="0"/>
        <v>0046</v>
      </c>
      <c r="R47" t="str">
        <f>IF('RETAIL SALES DATA.'!H47&gt;AVERAGE('RETAIL SALES DATA.'!H47:H1046),"HIGHEST VALUE","LOWEST VALUE")</f>
        <v>LOWEST VALUE</v>
      </c>
      <c r="S47" t="str">
        <f t="shared" si="1"/>
        <v>Profit</v>
      </c>
      <c r="T47" t="str">
        <f t="shared" si="2"/>
        <v>Rebecca Hawkins</v>
      </c>
      <c r="U47" t="str">
        <f t="shared" si="3"/>
        <v>Mouse</v>
      </c>
      <c r="V47">
        <f t="shared" si="4"/>
        <v>2024</v>
      </c>
      <c r="W47">
        <f t="shared" si="5"/>
        <v>11</v>
      </c>
      <c r="X47">
        <f t="shared" si="6"/>
        <v>10</v>
      </c>
      <c r="Y47" t="str">
        <f t="shared" si="7"/>
        <v>Nov</v>
      </c>
      <c r="Z47">
        <f t="shared" si="8"/>
        <v>10</v>
      </c>
      <c r="AA47" s="6"/>
      <c r="AE47" t="str">
        <v>Nov</v>
      </c>
    </row>
    <row r="48" spans="1:35" ht="15.75" customHeight="1" x14ac:dyDescent="0.3">
      <c r="A48" s="2" t="s">
        <v>179</v>
      </c>
      <c r="B48" s="2" t="s">
        <v>180</v>
      </c>
      <c r="C48" s="2" t="s">
        <v>49</v>
      </c>
      <c r="D48" s="2" t="s">
        <v>43</v>
      </c>
      <c r="E48" s="2" t="s">
        <v>44</v>
      </c>
      <c r="F48" s="2">
        <v>3</v>
      </c>
      <c r="G48" s="2">
        <v>1841.45</v>
      </c>
      <c r="H48" s="2">
        <v>5524.35</v>
      </c>
      <c r="I48" s="2">
        <v>4436.67</v>
      </c>
      <c r="J48" s="2">
        <v>1087.68</v>
      </c>
      <c r="K48" s="3">
        <v>46082</v>
      </c>
      <c r="L48" s="3">
        <v>46086</v>
      </c>
      <c r="M48" s="2" t="s">
        <v>181</v>
      </c>
      <c r="N48" s="2">
        <v>3</v>
      </c>
      <c r="O48" s="2" t="s">
        <v>151</v>
      </c>
      <c r="P48" s="25">
        <v>8.3000000000000007</v>
      </c>
      <c r="Q48" t="str">
        <f t="shared" si="0"/>
        <v>0047</v>
      </c>
      <c r="R48" t="str">
        <f>IF('RETAIL SALES DATA.'!H48&gt;AVERAGE('RETAIL SALES DATA.'!H48:H1047),"HIGHEST VALUE","LOWEST VALUE")</f>
        <v>LOWEST VALUE</v>
      </c>
      <c r="S48" t="str">
        <f t="shared" si="1"/>
        <v>Profit</v>
      </c>
      <c r="T48" t="str">
        <f t="shared" si="2"/>
        <v>Shannon Harris</v>
      </c>
      <c r="U48" t="str">
        <f t="shared" si="3"/>
        <v>Mouse</v>
      </c>
      <c r="V48">
        <f t="shared" si="4"/>
        <v>2026</v>
      </c>
      <c r="W48">
        <f t="shared" si="5"/>
        <v>3</v>
      </c>
      <c r="X48">
        <f t="shared" si="6"/>
        <v>1</v>
      </c>
      <c r="Y48" t="str">
        <f t="shared" si="7"/>
        <v>Mar</v>
      </c>
      <c r="Z48">
        <f t="shared" si="8"/>
        <v>4</v>
      </c>
      <c r="AE48" t="str">
        <v>Feb</v>
      </c>
    </row>
    <row r="49" spans="1:31" ht="15.75" customHeight="1" x14ac:dyDescent="0.3">
      <c r="A49" s="2" t="s">
        <v>182</v>
      </c>
      <c r="B49" s="2" t="s">
        <v>183</v>
      </c>
      <c r="C49" s="2" t="s">
        <v>57</v>
      </c>
      <c r="D49" s="2" t="s">
        <v>19</v>
      </c>
      <c r="E49" s="2" t="s">
        <v>25</v>
      </c>
      <c r="F49" s="2">
        <v>6</v>
      </c>
      <c r="G49" s="2">
        <v>3881.06</v>
      </c>
      <c r="H49" s="2">
        <v>23286.36</v>
      </c>
      <c r="I49" s="2">
        <v>19228.59</v>
      </c>
      <c r="J49" s="2">
        <v>4057.77</v>
      </c>
      <c r="K49" s="3">
        <v>45779</v>
      </c>
      <c r="L49" s="3">
        <v>45789</v>
      </c>
      <c r="M49" s="2" t="s">
        <v>123</v>
      </c>
      <c r="N49" s="2">
        <v>1</v>
      </c>
      <c r="O49" s="2" t="s">
        <v>184</v>
      </c>
      <c r="P49" s="25">
        <v>8.1999999999999993</v>
      </c>
      <c r="Q49" t="str">
        <f t="shared" si="0"/>
        <v>0048</v>
      </c>
      <c r="R49" t="str">
        <f>IF('RETAIL SALES DATA.'!H49&gt;AVERAGE('RETAIL SALES DATA.'!H49:H1048),"HIGHEST VALUE","LOWEST VALUE")</f>
        <v>LOWEST VALUE</v>
      </c>
      <c r="S49" t="str">
        <f t="shared" si="1"/>
        <v>Profit</v>
      </c>
      <c r="T49" t="str">
        <f t="shared" si="2"/>
        <v>Jennifer Maxwell</v>
      </c>
      <c r="U49" t="str">
        <f t="shared" si="3"/>
        <v>Notebook</v>
      </c>
      <c r="V49">
        <f t="shared" si="4"/>
        <v>2025</v>
      </c>
      <c r="W49">
        <f t="shared" si="5"/>
        <v>5</v>
      </c>
      <c r="X49">
        <f t="shared" si="6"/>
        <v>2</v>
      </c>
      <c r="Y49" t="str">
        <f t="shared" si="7"/>
        <v>May</v>
      </c>
      <c r="Z49">
        <f t="shared" si="8"/>
        <v>10</v>
      </c>
      <c r="AE49" t="str">
        <v>Dec</v>
      </c>
    </row>
    <row r="50" spans="1:31" ht="15.75" customHeight="1" x14ac:dyDescent="0.3">
      <c r="A50" s="2" t="s">
        <v>185</v>
      </c>
      <c r="B50" s="2" t="s">
        <v>186</v>
      </c>
      <c r="C50" s="2" t="s">
        <v>30</v>
      </c>
      <c r="D50" s="2" t="s">
        <v>31</v>
      </c>
      <c r="E50" s="2" t="s">
        <v>20</v>
      </c>
      <c r="F50" s="2">
        <v>17</v>
      </c>
      <c r="G50" s="2">
        <v>4410.57</v>
      </c>
      <c r="H50" s="2">
        <v>74979.69</v>
      </c>
      <c r="I50" s="2">
        <v>59559.51</v>
      </c>
      <c r="J50" s="2">
        <v>15420.18</v>
      </c>
      <c r="K50" s="3">
        <v>45701</v>
      </c>
      <c r="L50" s="3">
        <v>45703</v>
      </c>
      <c r="M50" s="2" t="s">
        <v>181</v>
      </c>
      <c r="N50" s="2">
        <v>5</v>
      </c>
      <c r="O50" s="2" t="s">
        <v>187</v>
      </c>
      <c r="P50" s="25">
        <v>9.6</v>
      </c>
      <c r="Q50" t="str">
        <f t="shared" si="0"/>
        <v>0049</v>
      </c>
      <c r="R50" t="str">
        <f>IF('RETAIL SALES DATA.'!H50&gt;AVERAGE('RETAIL SALES DATA.'!H50:H1049),"HIGHEST VALUE","LOWEST VALUE")</f>
        <v>HIGHEST VALUE</v>
      </c>
      <c r="S50" t="str">
        <f t="shared" si="1"/>
        <v>Profit</v>
      </c>
      <c r="T50" t="str">
        <f t="shared" si="2"/>
        <v>Melissa Edwards</v>
      </c>
      <c r="U50" t="str">
        <f t="shared" si="3"/>
        <v>Desk</v>
      </c>
      <c r="V50">
        <f t="shared" si="4"/>
        <v>2025</v>
      </c>
      <c r="W50">
        <f t="shared" si="5"/>
        <v>2</v>
      </c>
      <c r="X50">
        <f t="shared" si="6"/>
        <v>13</v>
      </c>
      <c r="Y50" t="str">
        <f t="shared" si="7"/>
        <v>Feb</v>
      </c>
      <c r="Z50">
        <f t="shared" si="8"/>
        <v>2</v>
      </c>
      <c r="AE50" t="str">
        <v>Jun</v>
      </c>
    </row>
    <row r="51" spans="1:31" ht="15.75" customHeight="1" x14ac:dyDescent="0.3">
      <c r="A51" s="2" t="s">
        <v>188</v>
      </c>
      <c r="B51" s="2" t="s">
        <v>189</v>
      </c>
      <c r="C51" s="2" t="s">
        <v>95</v>
      </c>
      <c r="D51" s="2" t="s">
        <v>19</v>
      </c>
      <c r="E51" s="2" t="s">
        <v>20</v>
      </c>
      <c r="F51" s="2">
        <v>1</v>
      </c>
      <c r="G51" s="2">
        <v>4982.5</v>
      </c>
      <c r="H51" s="2">
        <v>4982.5</v>
      </c>
      <c r="I51" s="2">
        <v>4359.99</v>
      </c>
      <c r="J51" s="2">
        <v>622.51</v>
      </c>
      <c r="K51" s="3">
        <v>45787</v>
      </c>
      <c r="L51" s="3">
        <v>45790</v>
      </c>
      <c r="M51" s="2" t="s">
        <v>38</v>
      </c>
      <c r="N51" s="2">
        <v>2</v>
      </c>
      <c r="O51" s="2" t="s">
        <v>82</v>
      </c>
      <c r="P51" s="25">
        <v>9.5</v>
      </c>
      <c r="Q51" t="str">
        <f t="shared" si="0"/>
        <v>0050</v>
      </c>
      <c r="R51" t="str">
        <f>IF('RETAIL SALES DATA.'!H51&gt;AVERAGE('RETAIL SALES DATA.'!H51:H1050),"HIGHEST VALUE","LOWEST VALUE")</f>
        <v>LOWEST VALUE</v>
      </c>
      <c r="S51" t="str">
        <f t="shared" si="1"/>
        <v>Profit</v>
      </c>
      <c r="T51" t="str">
        <f t="shared" si="2"/>
        <v>Heather Campbell</v>
      </c>
      <c r="U51" t="str">
        <f t="shared" si="3"/>
        <v>Printer</v>
      </c>
      <c r="V51">
        <f t="shared" si="4"/>
        <v>2025</v>
      </c>
      <c r="W51">
        <f t="shared" si="5"/>
        <v>5</v>
      </c>
      <c r="X51">
        <f t="shared" si="6"/>
        <v>10</v>
      </c>
      <c r="Y51" t="str">
        <f t="shared" si="7"/>
        <v>May</v>
      </c>
      <c r="Z51">
        <f t="shared" si="8"/>
        <v>3</v>
      </c>
      <c r="AE51" t="str">
        <v>Mar</v>
      </c>
    </row>
    <row r="52" spans="1:31" ht="15.75" customHeight="1" x14ac:dyDescent="0.3">
      <c r="A52" s="2" t="s">
        <v>190</v>
      </c>
      <c r="B52" s="2" t="s">
        <v>191</v>
      </c>
      <c r="C52" s="2" t="s">
        <v>144</v>
      </c>
      <c r="D52" s="2" t="s">
        <v>19</v>
      </c>
      <c r="E52" s="2" t="s">
        <v>20</v>
      </c>
      <c r="F52" s="2">
        <v>14</v>
      </c>
      <c r="G52" s="2">
        <v>2778.81</v>
      </c>
      <c r="H52" s="2">
        <v>38903.339999999997</v>
      </c>
      <c r="I52" s="2">
        <v>31496.68</v>
      </c>
      <c r="J52" s="2">
        <v>7406.66</v>
      </c>
      <c r="K52" s="3">
        <v>45757</v>
      </c>
      <c r="L52" s="3">
        <v>45767</v>
      </c>
      <c r="M52" s="2" t="s">
        <v>58</v>
      </c>
      <c r="N52" s="2">
        <v>4</v>
      </c>
      <c r="O52" s="2" t="s">
        <v>192</v>
      </c>
      <c r="P52" s="25">
        <v>9.6999999999999993</v>
      </c>
      <c r="Q52" t="str">
        <f t="shared" si="0"/>
        <v>0051</v>
      </c>
      <c r="R52" t="str">
        <f>IF('RETAIL SALES DATA.'!H52&gt;AVERAGE('RETAIL SALES DATA.'!H52:H1051),"HIGHEST VALUE","LOWEST VALUE")</f>
        <v>HIGHEST VALUE</v>
      </c>
      <c r="S52" t="str">
        <f t="shared" si="1"/>
        <v>Profit</v>
      </c>
      <c r="T52" t="str">
        <f t="shared" si="2"/>
        <v>James Green</v>
      </c>
      <c r="U52" t="str">
        <f t="shared" si="3"/>
        <v>File</v>
      </c>
      <c r="V52">
        <f t="shared" si="4"/>
        <v>2025</v>
      </c>
      <c r="W52">
        <f t="shared" si="5"/>
        <v>4</v>
      </c>
      <c r="X52">
        <f t="shared" si="6"/>
        <v>10</v>
      </c>
      <c r="Y52" t="str">
        <f t="shared" si="7"/>
        <v>Apr</v>
      </c>
      <c r="Z52">
        <f t="shared" si="8"/>
        <v>10</v>
      </c>
      <c r="AE52" t="str">
        <v>Apr</v>
      </c>
    </row>
    <row r="53" spans="1:31" ht="15.75" customHeight="1" x14ac:dyDescent="0.3">
      <c r="A53" s="2" t="s">
        <v>193</v>
      </c>
      <c r="B53" s="2" t="s">
        <v>194</v>
      </c>
      <c r="C53" s="2" t="s">
        <v>195</v>
      </c>
      <c r="D53" s="2" t="s">
        <v>43</v>
      </c>
      <c r="E53" s="2" t="s">
        <v>20</v>
      </c>
      <c r="F53" s="2">
        <v>19</v>
      </c>
      <c r="G53" s="2">
        <v>401.55</v>
      </c>
      <c r="H53" s="2">
        <v>7629.45</v>
      </c>
      <c r="I53" s="2">
        <v>5247.09</v>
      </c>
      <c r="J53" s="2">
        <v>2382.36</v>
      </c>
      <c r="K53" s="3">
        <v>46156</v>
      </c>
      <c r="L53" s="3">
        <v>46160</v>
      </c>
      <c r="M53" s="2" t="s">
        <v>69</v>
      </c>
      <c r="N53" s="2">
        <v>4</v>
      </c>
      <c r="O53" s="2" t="s">
        <v>196</v>
      </c>
      <c r="P53" s="25">
        <v>7.1</v>
      </c>
      <c r="Q53" t="str">
        <f t="shared" si="0"/>
        <v>0052</v>
      </c>
      <c r="R53" t="str">
        <f>IF('RETAIL SALES DATA.'!H53&gt;AVERAGE('RETAIL SALES DATA.'!H53:H1052),"HIGHEST VALUE","LOWEST VALUE")</f>
        <v>LOWEST VALUE</v>
      </c>
      <c r="S53" t="str">
        <f t="shared" si="1"/>
        <v>Profit</v>
      </c>
      <c r="T53" t="str">
        <f t="shared" si="2"/>
        <v>Ashley Bowman</v>
      </c>
      <c r="U53" t="str">
        <f t="shared" si="3"/>
        <v>Monitor</v>
      </c>
      <c r="V53">
        <f t="shared" si="4"/>
        <v>2026</v>
      </c>
      <c r="W53">
        <f t="shared" si="5"/>
        <v>5</v>
      </c>
      <c r="X53">
        <f t="shared" si="6"/>
        <v>14</v>
      </c>
      <c r="Y53" t="str">
        <f t="shared" si="7"/>
        <v>May</v>
      </c>
      <c r="Z53">
        <f t="shared" si="8"/>
        <v>4</v>
      </c>
      <c r="AE53" t="str">
        <v>Aug</v>
      </c>
    </row>
    <row r="54" spans="1:31" ht="15.75" customHeight="1" x14ac:dyDescent="0.3">
      <c r="A54" s="2" t="s">
        <v>197</v>
      </c>
      <c r="B54" s="2" t="s">
        <v>198</v>
      </c>
      <c r="C54" s="2" t="s">
        <v>49</v>
      </c>
      <c r="D54" s="2" t="s">
        <v>43</v>
      </c>
      <c r="E54" s="2" t="s">
        <v>32</v>
      </c>
      <c r="F54" s="2">
        <v>9</v>
      </c>
      <c r="G54" s="2">
        <v>1650.29</v>
      </c>
      <c r="H54" s="2">
        <v>14852.61</v>
      </c>
      <c r="I54" s="2">
        <v>10439.91</v>
      </c>
      <c r="J54" s="2">
        <v>4412.7</v>
      </c>
      <c r="K54" s="3">
        <v>46143</v>
      </c>
      <c r="L54" s="3">
        <v>46144</v>
      </c>
      <c r="M54" s="2" t="s">
        <v>26</v>
      </c>
      <c r="N54" s="2">
        <v>2</v>
      </c>
      <c r="O54" s="2" t="s">
        <v>199</v>
      </c>
      <c r="P54" s="25">
        <v>6</v>
      </c>
      <c r="Q54" t="str">
        <f t="shared" si="0"/>
        <v>0053</v>
      </c>
      <c r="R54" t="str">
        <f>IF('RETAIL SALES DATA.'!H54&gt;AVERAGE('RETAIL SALES DATA.'!H54:H1053),"HIGHEST VALUE","LOWEST VALUE")</f>
        <v>LOWEST VALUE</v>
      </c>
      <c r="S54" t="str">
        <f t="shared" si="1"/>
        <v>Profit</v>
      </c>
      <c r="T54" t="str">
        <f t="shared" si="2"/>
        <v>William Allen</v>
      </c>
      <c r="U54" t="str">
        <f t="shared" si="3"/>
        <v>Mouse</v>
      </c>
      <c r="V54">
        <f t="shared" si="4"/>
        <v>2026</v>
      </c>
      <c r="W54">
        <f t="shared" si="5"/>
        <v>5</v>
      </c>
      <c r="X54">
        <f t="shared" si="6"/>
        <v>1</v>
      </c>
      <c r="Y54" t="str">
        <f t="shared" si="7"/>
        <v>May</v>
      </c>
      <c r="Z54">
        <f t="shared" si="8"/>
        <v>1</v>
      </c>
      <c r="AE54" t="str">
        <v>Oct</v>
      </c>
    </row>
    <row r="55" spans="1:31" ht="15.75" customHeight="1" x14ac:dyDescent="0.3">
      <c r="A55" s="2" t="s">
        <v>200</v>
      </c>
      <c r="B55" s="2" t="s">
        <v>201</v>
      </c>
      <c r="C55" s="2" t="s">
        <v>42</v>
      </c>
      <c r="D55" s="2" t="s">
        <v>43</v>
      </c>
      <c r="E55" s="2" t="s">
        <v>44</v>
      </c>
      <c r="F55" s="2">
        <v>1</v>
      </c>
      <c r="G55" s="2">
        <v>3547.8</v>
      </c>
      <c r="H55" s="2">
        <v>3547.8</v>
      </c>
      <c r="I55" s="2">
        <v>2503.42</v>
      </c>
      <c r="J55" s="2">
        <v>1044.3800000000001</v>
      </c>
      <c r="K55" s="3">
        <v>45745</v>
      </c>
      <c r="L55" s="3">
        <v>45749</v>
      </c>
      <c r="M55" s="2" t="s">
        <v>123</v>
      </c>
      <c r="N55" s="2">
        <v>4</v>
      </c>
      <c r="O55" s="2" t="s">
        <v>202</v>
      </c>
      <c r="P55" s="25">
        <v>8</v>
      </c>
      <c r="Q55" t="str">
        <f t="shared" si="0"/>
        <v>0054</v>
      </c>
      <c r="R55" t="str">
        <f>IF('RETAIL SALES DATA.'!H55&gt;AVERAGE('RETAIL SALES DATA.'!H55:H1054),"HIGHEST VALUE","LOWEST VALUE")</f>
        <v>LOWEST VALUE</v>
      </c>
      <c r="S55" t="str">
        <f t="shared" si="1"/>
        <v>Profit</v>
      </c>
      <c r="T55" t="str">
        <f t="shared" si="2"/>
        <v>Christina Henderson</v>
      </c>
      <c r="U55" t="str">
        <f t="shared" si="3"/>
        <v>Laptop</v>
      </c>
      <c r="V55">
        <f t="shared" si="4"/>
        <v>2025</v>
      </c>
      <c r="W55">
        <f t="shared" si="5"/>
        <v>4</v>
      </c>
      <c r="X55">
        <f t="shared" si="6"/>
        <v>29</v>
      </c>
      <c r="Y55" t="str">
        <f t="shared" si="7"/>
        <v>Mar</v>
      </c>
      <c r="Z55">
        <f t="shared" si="8"/>
        <v>4</v>
      </c>
    </row>
    <row r="56" spans="1:31" ht="15.75" customHeight="1" x14ac:dyDescent="0.3">
      <c r="A56" s="2" t="s">
        <v>203</v>
      </c>
      <c r="B56" s="2" t="s">
        <v>204</v>
      </c>
      <c r="C56" s="2" t="s">
        <v>37</v>
      </c>
      <c r="D56" s="2" t="s">
        <v>19</v>
      </c>
      <c r="E56" s="2" t="s">
        <v>44</v>
      </c>
      <c r="F56" s="2">
        <v>15</v>
      </c>
      <c r="G56" s="2">
        <v>797.77</v>
      </c>
      <c r="H56" s="2">
        <v>11966.55</v>
      </c>
      <c r="I56" s="2">
        <v>7761.32</v>
      </c>
      <c r="J56" s="2">
        <v>4205.2299999999996</v>
      </c>
      <c r="K56" s="3">
        <v>46008</v>
      </c>
      <c r="L56" s="3">
        <v>46015</v>
      </c>
      <c r="M56" s="2" t="s">
        <v>26</v>
      </c>
      <c r="N56" s="2">
        <v>5</v>
      </c>
      <c r="O56" s="2" t="s">
        <v>205</v>
      </c>
      <c r="P56" s="25">
        <v>6.7</v>
      </c>
      <c r="Q56" t="str">
        <f t="shared" si="0"/>
        <v>0055</v>
      </c>
      <c r="R56" t="str">
        <f>IF('RETAIL SALES DATA.'!H56&gt;AVERAGE('RETAIL SALES DATA.'!H56:H1055),"HIGHEST VALUE","LOWEST VALUE")</f>
        <v>LOWEST VALUE</v>
      </c>
      <c r="S56" t="str">
        <f t="shared" si="1"/>
        <v>Profit</v>
      </c>
      <c r="T56" t="str">
        <f t="shared" si="2"/>
        <v>Brian Simon</v>
      </c>
      <c r="U56" t="str">
        <f t="shared" si="3"/>
        <v>Marker</v>
      </c>
      <c r="V56">
        <f t="shared" si="4"/>
        <v>2025</v>
      </c>
      <c r="W56">
        <f t="shared" si="5"/>
        <v>12</v>
      </c>
      <c r="X56">
        <f t="shared" si="6"/>
        <v>17</v>
      </c>
      <c r="Y56" t="str">
        <f t="shared" si="7"/>
        <v>Dec</v>
      </c>
      <c r="Z56">
        <f t="shared" si="8"/>
        <v>7</v>
      </c>
    </row>
    <row r="57" spans="1:31" ht="15.75" customHeight="1" x14ac:dyDescent="0.3">
      <c r="A57" s="2" t="s">
        <v>206</v>
      </c>
      <c r="B57" s="2" t="s">
        <v>207</v>
      </c>
      <c r="C57" s="2" t="s">
        <v>37</v>
      </c>
      <c r="D57" s="2" t="s">
        <v>19</v>
      </c>
      <c r="E57" s="2" t="s">
        <v>25</v>
      </c>
      <c r="F57" s="2">
        <v>14</v>
      </c>
      <c r="G57" s="2">
        <v>3390.11</v>
      </c>
      <c r="H57" s="2">
        <v>47461.54</v>
      </c>
      <c r="I57" s="2">
        <v>33888.910000000003</v>
      </c>
      <c r="J57" s="2">
        <v>13572.63</v>
      </c>
      <c r="K57" s="3">
        <v>46096</v>
      </c>
      <c r="L57" s="3">
        <v>46105</v>
      </c>
      <c r="M57" s="2" t="s">
        <v>181</v>
      </c>
      <c r="N57" s="2">
        <v>3</v>
      </c>
      <c r="O57" s="2" t="s">
        <v>208</v>
      </c>
      <c r="P57" s="25">
        <v>9.4</v>
      </c>
      <c r="Q57" t="str">
        <f t="shared" si="0"/>
        <v>0056</v>
      </c>
      <c r="R57" t="str">
        <f>IF('RETAIL SALES DATA.'!H57&gt;AVERAGE('RETAIL SALES DATA.'!H57:H1056),"HIGHEST VALUE","LOWEST VALUE")</f>
        <v>HIGHEST VALUE</v>
      </c>
      <c r="S57" t="str">
        <f t="shared" si="1"/>
        <v>Profit</v>
      </c>
      <c r="T57" t="str">
        <f t="shared" si="2"/>
        <v>Marc Martinez</v>
      </c>
      <c r="U57" t="str">
        <f t="shared" si="3"/>
        <v>Marker</v>
      </c>
      <c r="V57">
        <f t="shared" si="4"/>
        <v>2026</v>
      </c>
      <c r="W57">
        <f t="shared" si="5"/>
        <v>3</v>
      </c>
      <c r="X57">
        <f t="shared" si="6"/>
        <v>15</v>
      </c>
      <c r="Y57" t="str">
        <f t="shared" si="7"/>
        <v>Mar</v>
      </c>
      <c r="Z57">
        <f t="shared" si="8"/>
        <v>9</v>
      </c>
    </row>
    <row r="58" spans="1:31" ht="15.75" customHeight="1" x14ac:dyDescent="0.3">
      <c r="A58" s="2" t="s">
        <v>209</v>
      </c>
      <c r="B58" s="2" t="s">
        <v>210</v>
      </c>
      <c r="C58" s="2" t="s">
        <v>62</v>
      </c>
      <c r="D58" s="2" t="s">
        <v>31</v>
      </c>
      <c r="E58" s="2" t="s">
        <v>20</v>
      </c>
      <c r="F58" s="2">
        <v>16</v>
      </c>
      <c r="G58" s="2">
        <v>4225.43</v>
      </c>
      <c r="H58" s="2">
        <v>67606.880000000005</v>
      </c>
      <c r="I58" s="2">
        <v>36274.629999999997</v>
      </c>
      <c r="J58" s="2">
        <v>31332.25</v>
      </c>
      <c r="K58" s="3">
        <v>45734</v>
      </c>
      <c r="L58" s="3">
        <v>45742</v>
      </c>
      <c r="M58" s="2" t="s">
        <v>26</v>
      </c>
      <c r="N58" s="2">
        <v>2</v>
      </c>
      <c r="O58" s="2" t="s">
        <v>211</v>
      </c>
      <c r="P58" s="25">
        <v>6.2</v>
      </c>
      <c r="Q58" t="str">
        <f t="shared" si="0"/>
        <v>0057</v>
      </c>
      <c r="R58" t="str">
        <f>IF('RETAIL SALES DATA.'!H58&gt;AVERAGE('RETAIL SALES DATA.'!H58:H1057),"HIGHEST VALUE","LOWEST VALUE")</f>
        <v>HIGHEST VALUE</v>
      </c>
      <c r="S58" t="str">
        <f t="shared" si="1"/>
        <v>Profit</v>
      </c>
      <c r="T58" t="str">
        <f t="shared" si="2"/>
        <v>Rose Garcia</v>
      </c>
      <c r="U58" t="str">
        <f t="shared" si="3"/>
        <v>Table</v>
      </c>
      <c r="V58">
        <f t="shared" si="4"/>
        <v>2025</v>
      </c>
      <c r="W58">
        <f t="shared" si="5"/>
        <v>3</v>
      </c>
      <c r="X58">
        <f t="shared" si="6"/>
        <v>18</v>
      </c>
      <c r="Y58" t="str">
        <f t="shared" si="7"/>
        <v>Mar</v>
      </c>
      <c r="Z58">
        <f t="shared" si="8"/>
        <v>8</v>
      </c>
    </row>
    <row r="59" spans="1:31" ht="15.75" customHeight="1" x14ac:dyDescent="0.3">
      <c r="A59" s="2" t="s">
        <v>212</v>
      </c>
      <c r="B59" s="2" t="s">
        <v>213</v>
      </c>
      <c r="C59" s="2" t="s">
        <v>30</v>
      </c>
      <c r="D59" s="2" t="s">
        <v>31</v>
      </c>
      <c r="E59" s="2" t="s">
        <v>25</v>
      </c>
      <c r="F59" s="2">
        <v>13</v>
      </c>
      <c r="G59" s="2">
        <v>808.06</v>
      </c>
      <c r="H59" s="2">
        <v>10504.78</v>
      </c>
      <c r="I59" s="2">
        <v>6587.76</v>
      </c>
      <c r="J59" s="2">
        <v>3917.02</v>
      </c>
      <c r="K59" s="3">
        <v>45887</v>
      </c>
      <c r="L59" s="3">
        <v>45897</v>
      </c>
      <c r="M59" s="2" t="s">
        <v>45</v>
      </c>
      <c r="N59" s="2">
        <v>5</v>
      </c>
      <c r="O59" s="2" t="s">
        <v>214</v>
      </c>
      <c r="P59" s="25">
        <v>7.9</v>
      </c>
      <c r="Q59" t="str">
        <f t="shared" si="0"/>
        <v>0058</v>
      </c>
      <c r="R59" t="str">
        <f>IF('RETAIL SALES DATA.'!H59&gt;AVERAGE('RETAIL SALES DATA.'!H59:H1058),"HIGHEST VALUE","LOWEST VALUE")</f>
        <v>LOWEST VALUE</v>
      </c>
      <c r="S59" t="str">
        <f t="shared" si="1"/>
        <v>Profit</v>
      </c>
      <c r="T59" t="str">
        <f t="shared" si="2"/>
        <v>Christopher Richardson</v>
      </c>
      <c r="U59" t="str">
        <f t="shared" si="3"/>
        <v>Desk</v>
      </c>
      <c r="V59">
        <f t="shared" si="4"/>
        <v>2025</v>
      </c>
      <c r="W59">
        <f t="shared" si="5"/>
        <v>8</v>
      </c>
      <c r="X59">
        <f t="shared" si="6"/>
        <v>18</v>
      </c>
      <c r="Y59" t="str">
        <f t="shared" si="7"/>
        <v>Aug</v>
      </c>
      <c r="Z59">
        <f t="shared" si="8"/>
        <v>10</v>
      </c>
    </row>
    <row r="60" spans="1:31" ht="15.75" customHeight="1" x14ac:dyDescent="0.3">
      <c r="A60" s="2" t="s">
        <v>215</v>
      </c>
      <c r="B60" s="2" t="s">
        <v>216</v>
      </c>
      <c r="C60" s="2" t="s">
        <v>49</v>
      </c>
      <c r="D60" s="2" t="s">
        <v>43</v>
      </c>
      <c r="E60" s="2" t="s">
        <v>44</v>
      </c>
      <c r="F60" s="2">
        <v>17</v>
      </c>
      <c r="G60" s="2">
        <v>3010.68</v>
      </c>
      <c r="H60" s="2">
        <v>51181.56</v>
      </c>
      <c r="I60" s="2">
        <v>35293.480000000003</v>
      </c>
      <c r="J60" s="2">
        <v>15888.08</v>
      </c>
      <c r="K60" s="3">
        <v>46120</v>
      </c>
      <c r="L60" s="3">
        <v>46130</v>
      </c>
      <c r="M60" s="2" t="s">
        <v>58</v>
      </c>
      <c r="N60" s="2">
        <v>1</v>
      </c>
      <c r="O60" s="2" t="s">
        <v>99</v>
      </c>
      <c r="P60" s="25">
        <v>6.5</v>
      </c>
      <c r="Q60" t="str">
        <f t="shared" si="0"/>
        <v>0059</v>
      </c>
      <c r="R60" t="str">
        <f>IF('RETAIL SALES DATA.'!H60&gt;AVERAGE('RETAIL SALES DATA.'!H60:H1059),"HIGHEST VALUE","LOWEST VALUE")</f>
        <v>HIGHEST VALUE</v>
      </c>
      <c r="S60" t="str">
        <f t="shared" si="1"/>
        <v>Profit</v>
      </c>
      <c r="T60" t="str">
        <f t="shared" si="2"/>
        <v>Larry Johnson</v>
      </c>
      <c r="U60" t="str">
        <f t="shared" si="3"/>
        <v>Mouse</v>
      </c>
      <c r="V60">
        <f t="shared" si="4"/>
        <v>2026</v>
      </c>
      <c r="W60">
        <f t="shared" si="5"/>
        <v>4</v>
      </c>
      <c r="X60">
        <f t="shared" si="6"/>
        <v>8</v>
      </c>
      <c r="Y60" t="str">
        <f t="shared" si="7"/>
        <v>Apr</v>
      </c>
      <c r="Z60">
        <f t="shared" si="8"/>
        <v>10</v>
      </c>
    </row>
    <row r="61" spans="1:31" ht="15.75" customHeight="1" x14ac:dyDescent="0.3">
      <c r="A61" s="2" t="s">
        <v>217</v>
      </c>
      <c r="B61" s="2" t="s">
        <v>218</v>
      </c>
      <c r="C61" s="2" t="s">
        <v>219</v>
      </c>
      <c r="D61" s="2" t="s">
        <v>43</v>
      </c>
      <c r="E61" s="2" t="s">
        <v>32</v>
      </c>
      <c r="F61" s="2">
        <v>3</v>
      </c>
      <c r="G61" s="2">
        <v>2680.27</v>
      </c>
      <c r="H61" s="2">
        <v>8040.81</v>
      </c>
      <c r="I61" s="2">
        <v>6408.63</v>
      </c>
      <c r="J61" s="2">
        <v>1632.18</v>
      </c>
      <c r="K61" s="3">
        <v>46161</v>
      </c>
      <c r="L61" s="3">
        <v>46162</v>
      </c>
      <c r="M61" s="2" t="s">
        <v>181</v>
      </c>
      <c r="N61" s="2">
        <v>5</v>
      </c>
      <c r="O61" s="2" t="s">
        <v>220</v>
      </c>
      <c r="P61" s="25">
        <v>8.9</v>
      </c>
      <c r="Q61" t="str">
        <f t="shared" si="0"/>
        <v>0060</v>
      </c>
      <c r="R61" t="str">
        <f>IF('RETAIL SALES DATA.'!H61&gt;AVERAGE('RETAIL SALES DATA.'!H61:H1060),"HIGHEST VALUE","LOWEST VALUE")</f>
        <v>LOWEST VALUE</v>
      </c>
      <c r="S61" t="str">
        <f t="shared" si="1"/>
        <v>Profit</v>
      </c>
      <c r="T61" t="str">
        <f t="shared" si="2"/>
        <v>Mark Yang</v>
      </c>
      <c r="U61" t="str">
        <f t="shared" si="3"/>
        <v>Smartphone</v>
      </c>
      <c r="V61">
        <f t="shared" si="4"/>
        <v>2026</v>
      </c>
      <c r="W61">
        <f t="shared" si="5"/>
        <v>5</v>
      </c>
      <c r="X61">
        <f t="shared" si="6"/>
        <v>19</v>
      </c>
      <c r="Y61" t="str">
        <f t="shared" si="7"/>
        <v>May</v>
      </c>
      <c r="Z61">
        <f t="shared" si="8"/>
        <v>1</v>
      </c>
    </row>
    <row r="62" spans="1:31" ht="15.75" customHeight="1" x14ac:dyDescent="0.3">
      <c r="A62" s="2" t="s">
        <v>221</v>
      </c>
      <c r="B62" s="2" t="s">
        <v>222</v>
      </c>
      <c r="C62" s="2" t="s">
        <v>195</v>
      </c>
      <c r="D62" s="2" t="s">
        <v>43</v>
      </c>
      <c r="E62" s="2" t="s">
        <v>25</v>
      </c>
      <c r="F62" s="2">
        <v>16</v>
      </c>
      <c r="G62" s="2">
        <v>2587.86</v>
      </c>
      <c r="H62" s="2">
        <v>41405.760000000002</v>
      </c>
      <c r="I62" s="2">
        <v>30864.46</v>
      </c>
      <c r="J62" s="2">
        <v>10541.3</v>
      </c>
      <c r="K62" s="3">
        <v>45741</v>
      </c>
      <c r="L62" s="3">
        <v>45748</v>
      </c>
      <c r="M62" s="2" t="s">
        <v>58</v>
      </c>
      <c r="N62" s="2">
        <v>4</v>
      </c>
      <c r="O62" s="2" t="s">
        <v>223</v>
      </c>
      <c r="P62" s="25">
        <v>6.2</v>
      </c>
      <c r="Q62" t="str">
        <f t="shared" si="0"/>
        <v>0061</v>
      </c>
      <c r="R62" t="str">
        <f>IF('RETAIL SALES DATA.'!H62&gt;AVERAGE('RETAIL SALES DATA.'!H62:H1061),"HIGHEST VALUE","LOWEST VALUE")</f>
        <v>HIGHEST VALUE</v>
      </c>
      <c r="S62" t="str">
        <f t="shared" si="1"/>
        <v>Profit</v>
      </c>
      <c r="T62" t="str">
        <f t="shared" si="2"/>
        <v>Jill Garcia</v>
      </c>
      <c r="U62" t="str">
        <f t="shared" si="3"/>
        <v>Monitor</v>
      </c>
      <c r="V62">
        <f t="shared" si="4"/>
        <v>2025</v>
      </c>
      <c r="W62">
        <f t="shared" si="5"/>
        <v>4</v>
      </c>
      <c r="X62">
        <f t="shared" si="6"/>
        <v>25</v>
      </c>
      <c r="Y62" t="str">
        <f t="shared" si="7"/>
        <v>Mar</v>
      </c>
      <c r="Z62">
        <f t="shared" si="8"/>
        <v>7</v>
      </c>
    </row>
    <row r="63" spans="1:31" ht="15.75" customHeight="1" x14ac:dyDescent="0.3">
      <c r="A63" s="2" t="s">
        <v>224</v>
      </c>
      <c r="B63" s="2" t="s">
        <v>225</v>
      </c>
      <c r="C63" s="2" t="s">
        <v>219</v>
      </c>
      <c r="D63" s="2" t="s">
        <v>43</v>
      </c>
      <c r="E63" s="2" t="s">
        <v>25</v>
      </c>
      <c r="F63" s="2">
        <v>8</v>
      </c>
      <c r="G63" s="2">
        <v>1185.57</v>
      </c>
      <c r="H63" s="2">
        <v>9484.56</v>
      </c>
      <c r="I63" s="2">
        <v>5385.46</v>
      </c>
      <c r="J63" s="2">
        <v>4099.1000000000004</v>
      </c>
      <c r="K63" s="3">
        <v>46118</v>
      </c>
      <c r="L63" s="3">
        <v>46121</v>
      </c>
      <c r="M63" s="2" t="s">
        <v>69</v>
      </c>
      <c r="N63" s="2">
        <v>2</v>
      </c>
      <c r="O63" s="2" t="s">
        <v>226</v>
      </c>
      <c r="P63" s="25">
        <v>8.1999999999999993</v>
      </c>
      <c r="Q63" t="str">
        <f t="shared" si="0"/>
        <v>0062</v>
      </c>
      <c r="R63" t="str">
        <f>IF('RETAIL SALES DATA.'!H63&gt;AVERAGE('RETAIL SALES DATA.'!H63:H1062),"HIGHEST VALUE","LOWEST VALUE")</f>
        <v>LOWEST VALUE</v>
      </c>
      <c r="S63" t="str">
        <f t="shared" si="1"/>
        <v>Profit</v>
      </c>
      <c r="T63" t="str">
        <f t="shared" si="2"/>
        <v>Anne Rodriguez</v>
      </c>
      <c r="U63" t="str">
        <f t="shared" si="3"/>
        <v>Smartphone</v>
      </c>
      <c r="V63">
        <f t="shared" si="4"/>
        <v>2026</v>
      </c>
      <c r="W63">
        <f t="shared" si="5"/>
        <v>4</v>
      </c>
      <c r="X63">
        <f t="shared" si="6"/>
        <v>6</v>
      </c>
      <c r="Y63" t="str">
        <f t="shared" si="7"/>
        <v>Apr</v>
      </c>
      <c r="Z63">
        <f t="shared" si="8"/>
        <v>3</v>
      </c>
    </row>
    <row r="64" spans="1:31" ht="15.75" customHeight="1" x14ac:dyDescent="0.3">
      <c r="A64" s="2" t="s">
        <v>227</v>
      </c>
      <c r="B64" s="2" t="s">
        <v>228</v>
      </c>
      <c r="C64" s="2" t="s">
        <v>88</v>
      </c>
      <c r="D64" s="2" t="s">
        <v>31</v>
      </c>
      <c r="E64" s="2" t="s">
        <v>32</v>
      </c>
      <c r="F64" s="2">
        <v>9</v>
      </c>
      <c r="G64" s="2">
        <v>3551.24</v>
      </c>
      <c r="H64" s="2">
        <v>31961.16</v>
      </c>
      <c r="I64" s="2">
        <v>26905.37</v>
      </c>
      <c r="J64" s="2">
        <v>5055.79</v>
      </c>
      <c r="K64" s="3">
        <v>46002</v>
      </c>
      <c r="L64" s="3">
        <v>46004</v>
      </c>
      <c r="M64" s="2" t="s">
        <v>58</v>
      </c>
      <c r="N64" s="2">
        <v>5</v>
      </c>
      <c r="O64" s="2" t="s">
        <v>229</v>
      </c>
      <c r="P64" s="25">
        <v>7.8</v>
      </c>
      <c r="Q64" t="str">
        <f t="shared" si="0"/>
        <v>0063</v>
      </c>
      <c r="R64" t="str">
        <f>IF('RETAIL SALES DATA.'!H64&gt;AVERAGE('RETAIL SALES DATA.'!H64:H1063),"HIGHEST VALUE","LOWEST VALUE")</f>
        <v>HIGHEST VALUE</v>
      </c>
      <c r="S64" t="str">
        <f t="shared" si="1"/>
        <v>Profit</v>
      </c>
      <c r="T64" t="str">
        <f t="shared" si="2"/>
        <v>Christopher Daniels</v>
      </c>
      <c r="U64" t="str">
        <f t="shared" si="3"/>
        <v>Cupboard</v>
      </c>
      <c r="V64">
        <f t="shared" si="4"/>
        <v>2025</v>
      </c>
      <c r="W64">
        <f t="shared" si="5"/>
        <v>12</v>
      </c>
      <c r="X64">
        <f t="shared" si="6"/>
        <v>11</v>
      </c>
      <c r="Y64" t="str">
        <f t="shared" si="7"/>
        <v>Dec</v>
      </c>
      <c r="Z64">
        <f t="shared" si="8"/>
        <v>2</v>
      </c>
    </row>
    <row r="65" spans="1:26" ht="15.75" customHeight="1" x14ac:dyDescent="0.3">
      <c r="A65" s="2" t="s">
        <v>230</v>
      </c>
      <c r="B65" s="2" t="s">
        <v>231</v>
      </c>
      <c r="C65" s="2" t="s">
        <v>37</v>
      </c>
      <c r="D65" s="2" t="s">
        <v>19</v>
      </c>
      <c r="E65" s="2" t="s">
        <v>32</v>
      </c>
      <c r="F65" s="2">
        <v>15</v>
      </c>
      <c r="G65" s="2">
        <v>994.46</v>
      </c>
      <c r="H65" s="2">
        <v>14916.9</v>
      </c>
      <c r="I65" s="2">
        <v>11569.14</v>
      </c>
      <c r="J65" s="2">
        <v>3347.76</v>
      </c>
      <c r="K65" s="3">
        <v>46012</v>
      </c>
      <c r="L65" s="3">
        <v>46017</v>
      </c>
      <c r="M65" s="2" t="s">
        <v>123</v>
      </c>
      <c r="N65" s="2">
        <v>5</v>
      </c>
      <c r="O65" s="2" t="s">
        <v>232</v>
      </c>
      <c r="P65" s="25">
        <v>7.2</v>
      </c>
      <c r="Q65" t="str">
        <f t="shared" si="0"/>
        <v>0064</v>
      </c>
      <c r="R65" t="str">
        <f>IF('RETAIL SALES DATA.'!H65&gt;AVERAGE('RETAIL SALES DATA.'!H65:H1064),"HIGHEST VALUE","LOWEST VALUE")</f>
        <v>LOWEST VALUE</v>
      </c>
      <c r="S65" t="str">
        <f t="shared" si="1"/>
        <v>Profit</v>
      </c>
      <c r="T65" t="str">
        <f t="shared" si="2"/>
        <v>Joshua Stevenson</v>
      </c>
      <c r="U65" t="str">
        <f t="shared" si="3"/>
        <v>Marker</v>
      </c>
      <c r="V65">
        <f t="shared" si="4"/>
        <v>2025</v>
      </c>
      <c r="W65">
        <f t="shared" si="5"/>
        <v>12</v>
      </c>
      <c r="X65">
        <f t="shared" si="6"/>
        <v>21</v>
      </c>
      <c r="Y65" t="str">
        <f t="shared" si="7"/>
        <v>Dec</v>
      </c>
      <c r="Z65">
        <f t="shared" si="8"/>
        <v>5</v>
      </c>
    </row>
    <row r="66" spans="1:26" ht="15.75" customHeight="1" x14ac:dyDescent="0.3">
      <c r="A66" s="2" t="s">
        <v>233</v>
      </c>
      <c r="B66" s="2" t="s">
        <v>234</v>
      </c>
      <c r="C66" s="2" t="s">
        <v>195</v>
      </c>
      <c r="D66" s="2" t="s">
        <v>43</v>
      </c>
      <c r="E66" s="2" t="s">
        <v>25</v>
      </c>
      <c r="F66" s="2">
        <v>6</v>
      </c>
      <c r="G66" s="2">
        <v>452.56</v>
      </c>
      <c r="H66" s="2">
        <v>2715.36</v>
      </c>
      <c r="I66" s="2">
        <v>1367.52</v>
      </c>
      <c r="J66" s="2">
        <v>1347.84</v>
      </c>
      <c r="K66" s="3">
        <v>45841</v>
      </c>
      <c r="L66" s="3">
        <v>45846</v>
      </c>
      <c r="M66" s="2" t="s">
        <v>181</v>
      </c>
      <c r="N66" s="2">
        <v>4</v>
      </c>
      <c r="O66" s="2" t="s">
        <v>235</v>
      </c>
      <c r="P66" s="25">
        <v>10</v>
      </c>
      <c r="Q66" t="str">
        <f t="shared" si="0"/>
        <v>0065</v>
      </c>
      <c r="R66" t="str">
        <f>IF('RETAIL SALES DATA.'!H66&gt;AVERAGE('RETAIL SALES DATA.'!H66:H1065),"HIGHEST VALUE","LOWEST VALUE")</f>
        <v>LOWEST VALUE</v>
      </c>
      <c r="S66" t="str">
        <f t="shared" si="1"/>
        <v>Profit</v>
      </c>
      <c r="T66" t="str">
        <f t="shared" si="2"/>
        <v>Caleb Schneider</v>
      </c>
      <c r="U66" t="str">
        <f t="shared" si="3"/>
        <v>Monitor</v>
      </c>
      <c r="V66">
        <f t="shared" si="4"/>
        <v>2025</v>
      </c>
      <c r="W66">
        <f t="shared" si="5"/>
        <v>7</v>
      </c>
      <c r="X66">
        <f t="shared" si="6"/>
        <v>3</v>
      </c>
      <c r="Y66" t="str">
        <f t="shared" si="7"/>
        <v>Jul</v>
      </c>
      <c r="Z66">
        <f t="shared" si="8"/>
        <v>5</v>
      </c>
    </row>
    <row r="67" spans="1:26" ht="15.75" customHeight="1" x14ac:dyDescent="0.3">
      <c r="A67" s="2" t="s">
        <v>236</v>
      </c>
      <c r="B67" s="2" t="s">
        <v>237</v>
      </c>
      <c r="C67" s="2" t="s">
        <v>37</v>
      </c>
      <c r="D67" s="2" t="s">
        <v>19</v>
      </c>
      <c r="E67" s="2" t="s">
        <v>44</v>
      </c>
      <c r="F67" s="2">
        <v>12</v>
      </c>
      <c r="G67" s="2">
        <v>1278.1400000000001</v>
      </c>
      <c r="H67" s="2">
        <v>15337.68</v>
      </c>
      <c r="I67" s="2">
        <v>9634.06</v>
      </c>
      <c r="J67" s="2">
        <v>5703.62</v>
      </c>
      <c r="K67" s="3">
        <v>45986</v>
      </c>
      <c r="L67" s="3">
        <v>45987</v>
      </c>
      <c r="M67" s="2" t="s">
        <v>69</v>
      </c>
      <c r="N67" s="2">
        <v>1</v>
      </c>
      <c r="O67" s="2" t="s">
        <v>133</v>
      </c>
      <c r="P67" s="25">
        <v>9.6999999999999993</v>
      </c>
      <c r="Q67" t="str">
        <f t="shared" ref="Q67:Q130" si="10">RIGHT(A67,"4")</f>
        <v>0066</v>
      </c>
      <c r="R67" t="str">
        <f>IF('RETAIL SALES DATA.'!H67&gt;AVERAGE('RETAIL SALES DATA.'!H67:H1066),"HIGHEST VALUE","LOWEST VALUE")</f>
        <v>LOWEST VALUE</v>
      </c>
      <c r="S67" t="str">
        <f t="shared" ref="S67:S130" si="11">IF(J67&gt;0,"Profit","Loss")</f>
        <v>Profit</v>
      </c>
      <c r="T67" t="str">
        <f t="shared" ref="T67:T130" si="12">PROPER(B67)</f>
        <v>Rhonda Stone</v>
      </c>
      <c r="U67" t="str">
        <f t="shared" ref="U67:U130" si="13">PROPER(C67)</f>
        <v>Marker</v>
      </c>
      <c r="V67">
        <f t="shared" ref="V67:V130" si="14">YEAR(K67)</f>
        <v>2025</v>
      </c>
      <c r="W67">
        <f t="shared" ref="W67:W130" si="15">MONTH(L67)</f>
        <v>11</v>
      </c>
      <c r="X67">
        <f t="shared" ref="X67:X130" si="16">DAY(K67)</f>
        <v>25</v>
      </c>
      <c r="Y67" t="str">
        <f t="shared" ref="Y67:Y130" si="17">TEXT(K67,"MMM")</f>
        <v>Nov</v>
      </c>
      <c r="Z67">
        <f t="shared" ref="Z67:Z130" si="18">L67-K67</f>
        <v>1</v>
      </c>
    </row>
    <row r="68" spans="1:26" ht="15.75" customHeight="1" x14ac:dyDescent="0.3">
      <c r="A68" s="2" t="s">
        <v>238</v>
      </c>
      <c r="B68" s="2" t="s">
        <v>239</v>
      </c>
      <c r="C68" s="2" t="s">
        <v>72</v>
      </c>
      <c r="D68" s="2" t="s">
        <v>31</v>
      </c>
      <c r="E68" s="2" t="s">
        <v>32</v>
      </c>
      <c r="F68" s="2">
        <v>10</v>
      </c>
      <c r="G68" s="2">
        <v>4133.33</v>
      </c>
      <c r="H68" s="2">
        <v>41333.300000000003</v>
      </c>
      <c r="I68" s="2">
        <v>22322.27</v>
      </c>
      <c r="J68" s="2">
        <v>19011.03</v>
      </c>
      <c r="K68" s="3">
        <v>45979</v>
      </c>
      <c r="L68" s="3">
        <v>45982</v>
      </c>
      <c r="M68" s="2" t="s">
        <v>45</v>
      </c>
      <c r="N68" s="2">
        <v>1</v>
      </c>
      <c r="O68" s="2" t="s">
        <v>240</v>
      </c>
      <c r="P68" s="25">
        <v>7.6</v>
      </c>
      <c r="Q68" t="str">
        <f t="shared" si="10"/>
        <v>0067</v>
      </c>
      <c r="R68" t="str">
        <f>IF('RETAIL SALES DATA.'!H68&gt;AVERAGE('RETAIL SALES DATA.'!H68:H1067),"HIGHEST VALUE","LOWEST VALUE")</f>
        <v>HIGHEST VALUE</v>
      </c>
      <c r="S68" t="str">
        <f t="shared" si="11"/>
        <v>Profit</v>
      </c>
      <c r="T68" t="str">
        <f t="shared" si="12"/>
        <v>Ricky Conner</v>
      </c>
      <c r="U68" t="str">
        <f t="shared" si="13"/>
        <v>Chair</v>
      </c>
      <c r="V68">
        <f t="shared" si="14"/>
        <v>2025</v>
      </c>
      <c r="W68">
        <f t="shared" si="15"/>
        <v>11</v>
      </c>
      <c r="X68">
        <f t="shared" si="16"/>
        <v>18</v>
      </c>
      <c r="Y68" t="str">
        <f t="shared" si="17"/>
        <v>Nov</v>
      </c>
      <c r="Z68">
        <f t="shared" si="18"/>
        <v>3</v>
      </c>
    </row>
    <row r="69" spans="1:26" ht="15.75" customHeight="1" x14ac:dyDescent="0.3">
      <c r="A69" s="2" t="s">
        <v>241</v>
      </c>
      <c r="B69" s="2" t="s">
        <v>242</v>
      </c>
      <c r="C69" s="2" t="s">
        <v>144</v>
      </c>
      <c r="D69" s="2" t="s">
        <v>19</v>
      </c>
      <c r="E69" s="2" t="s">
        <v>44</v>
      </c>
      <c r="F69" s="2">
        <v>6</v>
      </c>
      <c r="G69" s="2">
        <v>4048.69</v>
      </c>
      <c r="H69" s="2">
        <v>24292.14</v>
      </c>
      <c r="I69" s="2">
        <v>20691.89</v>
      </c>
      <c r="J69" s="2">
        <v>3600.25</v>
      </c>
      <c r="K69" s="3">
        <v>45491</v>
      </c>
      <c r="L69" s="3">
        <v>45493</v>
      </c>
      <c r="M69" s="2" t="s">
        <v>26</v>
      </c>
      <c r="N69" s="2">
        <v>1</v>
      </c>
      <c r="O69" s="2" t="s">
        <v>243</v>
      </c>
      <c r="P69" s="25">
        <v>6.4</v>
      </c>
      <c r="Q69" t="str">
        <f t="shared" si="10"/>
        <v>0068</v>
      </c>
      <c r="R69" t="str">
        <f>IF('RETAIL SALES DATA.'!H69&gt;AVERAGE('RETAIL SALES DATA.'!H69:H1068),"HIGHEST VALUE","LOWEST VALUE")</f>
        <v>LOWEST VALUE</v>
      </c>
      <c r="S69" t="str">
        <f t="shared" si="11"/>
        <v>Profit</v>
      </c>
      <c r="T69" t="str">
        <f t="shared" si="12"/>
        <v>Alyssa Osborne</v>
      </c>
      <c r="U69" t="str">
        <f t="shared" si="13"/>
        <v>File</v>
      </c>
      <c r="V69">
        <f t="shared" si="14"/>
        <v>2024</v>
      </c>
      <c r="W69">
        <f t="shared" si="15"/>
        <v>7</v>
      </c>
      <c r="X69">
        <f t="shared" si="16"/>
        <v>18</v>
      </c>
      <c r="Y69" t="str">
        <f t="shared" si="17"/>
        <v>Jul</v>
      </c>
      <c r="Z69">
        <f t="shared" si="18"/>
        <v>2</v>
      </c>
    </row>
    <row r="70" spans="1:26" ht="15.75" customHeight="1" x14ac:dyDescent="0.3">
      <c r="A70" s="2" t="s">
        <v>244</v>
      </c>
      <c r="B70" s="2" t="s">
        <v>245</v>
      </c>
      <c r="C70" s="2" t="s">
        <v>195</v>
      </c>
      <c r="D70" s="2" t="s">
        <v>43</v>
      </c>
      <c r="E70" s="2" t="s">
        <v>25</v>
      </c>
      <c r="F70" s="2">
        <v>7</v>
      </c>
      <c r="G70" s="2">
        <v>4179.3999999999996</v>
      </c>
      <c r="H70" s="2">
        <v>29255.8</v>
      </c>
      <c r="I70" s="2">
        <v>22646.47</v>
      </c>
      <c r="J70" s="2">
        <v>6609.33</v>
      </c>
      <c r="K70" s="3">
        <v>46040</v>
      </c>
      <c r="L70" s="3">
        <v>46042</v>
      </c>
      <c r="M70" s="2" t="s">
        <v>69</v>
      </c>
      <c r="N70" s="2">
        <v>1</v>
      </c>
      <c r="O70" s="2" t="s">
        <v>246</v>
      </c>
      <c r="P70" s="25">
        <v>8.1</v>
      </c>
      <c r="Q70" t="str">
        <f t="shared" si="10"/>
        <v>0069</v>
      </c>
      <c r="R70" t="str">
        <f>IF('RETAIL SALES DATA.'!H70&gt;AVERAGE('RETAIL SALES DATA.'!H70:H1069),"HIGHEST VALUE","LOWEST VALUE")</f>
        <v>HIGHEST VALUE</v>
      </c>
      <c r="S70" t="str">
        <f t="shared" si="11"/>
        <v>Profit</v>
      </c>
      <c r="T70" t="str">
        <f t="shared" si="12"/>
        <v>Travis Avila</v>
      </c>
      <c r="U70" t="str">
        <f t="shared" si="13"/>
        <v>Monitor</v>
      </c>
      <c r="V70">
        <f t="shared" si="14"/>
        <v>2026</v>
      </c>
      <c r="W70">
        <f t="shared" si="15"/>
        <v>1</v>
      </c>
      <c r="X70">
        <f t="shared" si="16"/>
        <v>18</v>
      </c>
      <c r="Y70" t="str">
        <f t="shared" si="17"/>
        <v>Jan</v>
      </c>
      <c r="Z70">
        <f t="shared" si="18"/>
        <v>2</v>
      </c>
    </row>
    <row r="71" spans="1:26" ht="15.75" customHeight="1" x14ac:dyDescent="0.3">
      <c r="A71" s="2" t="s">
        <v>247</v>
      </c>
      <c r="B71" s="2" t="s">
        <v>248</v>
      </c>
      <c r="C71" s="2" t="s">
        <v>88</v>
      </c>
      <c r="D71" s="2" t="s">
        <v>31</v>
      </c>
      <c r="E71" s="2" t="s">
        <v>32</v>
      </c>
      <c r="F71" s="2">
        <v>3</v>
      </c>
      <c r="G71" s="2">
        <v>3879.58</v>
      </c>
      <c r="H71" s="2">
        <v>11638.74</v>
      </c>
      <c r="I71" s="2">
        <v>9029.6299999999992</v>
      </c>
      <c r="J71" s="2">
        <v>2609.11</v>
      </c>
      <c r="K71" s="3">
        <v>46075</v>
      </c>
      <c r="L71" s="3">
        <v>46080</v>
      </c>
      <c r="M71" s="2" t="s">
        <v>45</v>
      </c>
      <c r="N71" s="2">
        <v>2</v>
      </c>
      <c r="O71" s="2" t="s">
        <v>172</v>
      </c>
      <c r="P71" s="25">
        <v>8.3000000000000007</v>
      </c>
      <c r="Q71" t="str">
        <f t="shared" si="10"/>
        <v>0070</v>
      </c>
      <c r="R71" t="str">
        <f>IF('RETAIL SALES DATA.'!H71&gt;AVERAGE('RETAIL SALES DATA.'!H71:H1070),"HIGHEST VALUE","LOWEST VALUE")</f>
        <v>LOWEST VALUE</v>
      </c>
      <c r="S71" t="str">
        <f t="shared" si="11"/>
        <v>Profit</v>
      </c>
      <c r="T71" t="str">
        <f t="shared" si="12"/>
        <v>Anthony Watts</v>
      </c>
      <c r="U71" t="str">
        <f t="shared" si="13"/>
        <v>Cupboard</v>
      </c>
      <c r="V71">
        <f t="shared" si="14"/>
        <v>2026</v>
      </c>
      <c r="W71">
        <f t="shared" si="15"/>
        <v>2</v>
      </c>
      <c r="X71">
        <f t="shared" si="16"/>
        <v>22</v>
      </c>
      <c r="Y71" t="str">
        <f t="shared" si="17"/>
        <v>Feb</v>
      </c>
      <c r="Z71">
        <f t="shared" si="18"/>
        <v>5</v>
      </c>
    </row>
    <row r="72" spans="1:26" ht="15.75" customHeight="1" x14ac:dyDescent="0.3">
      <c r="A72" s="2" t="s">
        <v>249</v>
      </c>
      <c r="B72" s="2" t="s">
        <v>250</v>
      </c>
      <c r="C72" s="2" t="s">
        <v>95</v>
      </c>
      <c r="D72" s="2" t="s">
        <v>19</v>
      </c>
      <c r="E72" s="2" t="s">
        <v>20</v>
      </c>
      <c r="F72" s="2">
        <v>13</v>
      </c>
      <c r="G72" s="2">
        <v>4057.48</v>
      </c>
      <c r="H72" s="2">
        <v>52747.24</v>
      </c>
      <c r="I72" s="2">
        <v>41071.51</v>
      </c>
      <c r="J72" s="2">
        <v>11675.73</v>
      </c>
      <c r="K72" s="3">
        <v>45609</v>
      </c>
      <c r="L72" s="3">
        <v>45613</v>
      </c>
      <c r="M72" s="2" t="s">
        <v>26</v>
      </c>
      <c r="N72" s="2">
        <v>4</v>
      </c>
      <c r="O72" s="2" t="s">
        <v>251</v>
      </c>
      <c r="P72" s="25">
        <v>9.9</v>
      </c>
      <c r="Q72" t="str">
        <f t="shared" si="10"/>
        <v>0071</v>
      </c>
      <c r="R72" t="str">
        <f>IF('RETAIL SALES DATA.'!H72&gt;AVERAGE('RETAIL SALES DATA.'!H72:H1071),"HIGHEST VALUE","LOWEST VALUE")</f>
        <v>HIGHEST VALUE</v>
      </c>
      <c r="S72" t="str">
        <f t="shared" si="11"/>
        <v>Profit</v>
      </c>
      <c r="T72" t="str">
        <f t="shared" si="12"/>
        <v>Brenda Mitchell</v>
      </c>
      <c r="U72" t="str">
        <f t="shared" si="13"/>
        <v>Printer</v>
      </c>
      <c r="V72">
        <f t="shared" si="14"/>
        <v>2024</v>
      </c>
      <c r="W72">
        <f t="shared" si="15"/>
        <v>11</v>
      </c>
      <c r="X72">
        <f t="shared" si="16"/>
        <v>13</v>
      </c>
      <c r="Y72" t="str">
        <f t="shared" si="17"/>
        <v>Nov</v>
      </c>
      <c r="Z72">
        <f t="shared" si="18"/>
        <v>4</v>
      </c>
    </row>
    <row r="73" spans="1:26" ht="15.75" customHeight="1" x14ac:dyDescent="0.3">
      <c r="A73" s="2" t="s">
        <v>252</v>
      </c>
      <c r="B73" s="2" t="s">
        <v>253</v>
      </c>
      <c r="C73" s="2" t="s">
        <v>72</v>
      </c>
      <c r="D73" s="2" t="s">
        <v>31</v>
      </c>
      <c r="E73" s="2" t="s">
        <v>44</v>
      </c>
      <c r="F73" s="2">
        <v>17</v>
      </c>
      <c r="G73" s="2">
        <v>3139.64</v>
      </c>
      <c r="H73" s="2">
        <v>53373.88</v>
      </c>
      <c r="I73" s="2">
        <v>31414.02</v>
      </c>
      <c r="J73" s="2">
        <v>21959.86</v>
      </c>
      <c r="K73" s="3">
        <v>46160</v>
      </c>
      <c r="L73" s="3">
        <v>46162</v>
      </c>
      <c r="M73" s="2" t="s">
        <v>21</v>
      </c>
      <c r="N73" s="2">
        <v>2</v>
      </c>
      <c r="O73" s="2" t="s">
        <v>254</v>
      </c>
      <c r="P73" s="25">
        <v>9.4</v>
      </c>
      <c r="Q73" t="str">
        <f t="shared" si="10"/>
        <v>0072</v>
      </c>
      <c r="R73" t="str">
        <f>IF('RETAIL SALES DATA.'!H73&gt;AVERAGE('RETAIL SALES DATA.'!H73:H1072),"HIGHEST VALUE","LOWEST VALUE")</f>
        <v>HIGHEST VALUE</v>
      </c>
      <c r="S73" t="str">
        <f t="shared" si="11"/>
        <v>Profit</v>
      </c>
      <c r="T73" t="str">
        <f t="shared" si="12"/>
        <v>Elizabeth Warren</v>
      </c>
      <c r="U73" t="str">
        <f t="shared" si="13"/>
        <v>Chair</v>
      </c>
      <c r="V73">
        <f t="shared" si="14"/>
        <v>2026</v>
      </c>
      <c r="W73">
        <f t="shared" si="15"/>
        <v>5</v>
      </c>
      <c r="X73">
        <f t="shared" si="16"/>
        <v>18</v>
      </c>
      <c r="Y73" t="str">
        <f t="shared" si="17"/>
        <v>May</v>
      </c>
      <c r="Z73">
        <f t="shared" si="18"/>
        <v>2</v>
      </c>
    </row>
    <row r="74" spans="1:26" ht="15.75" customHeight="1" x14ac:dyDescent="0.3">
      <c r="A74" s="2" t="s">
        <v>255</v>
      </c>
      <c r="B74" s="2" t="s">
        <v>256</v>
      </c>
      <c r="C74" s="2" t="s">
        <v>168</v>
      </c>
      <c r="D74" s="2" t="s">
        <v>43</v>
      </c>
      <c r="E74" s="2" t="s">
        <v>44</v>
      </c>
      <c r="F74" s="2">
        <v>13</v>
      </c>
      <c r="G74" s="2">
        <v>4633.59</v>
      </c>
      <c r="H74" s="2">
        <v>60236.67</v>
      </c>
      <c r="I74" s="2">
        <v>44395.17</v>
      </c>
      <c r="J74" s="2">
        <v>15841.5</v>
      </c>
      <c r="K74" s="3">
        <v>45617</v>
      </c>
      <c r="L74" s="3">
        <v>45626</v>
      </c>
      <c r="M74" s="2" t="s">
        <v>123</v>
      </c>
      <c r="N74" s="2">
        <v>3</v>
      </c>
      <c r="O74" s="2" t="s">
        <v>257</v>
      </c>
      <c r="P74" s="25">
        <v>6.6</v>
      </c>
      <c r="Q74" t="str">
        <f t="shared" si="10"/>
        <v>0073</v>
      </c>
      <c r="R74" t="str">
        <f>IF('RETAIL SALES DATA.'!H74&gt;AVERAGE('RETAIL SALES DATA.'!H74:H1073),"HIGHEST VALUE","LOWEST VALUE")</f>
        <v>HIGHEST VALUE</v>
      </c>
      <c r="S74" t="str">
        <f t="shared" si="11"/>
        <v>Profit</v>
      </c>
      <c r="T74" t="str">
        <f t="shared" si="12"/>
        <v>Mrs. Annette Phillips</v>
      </c>
      <c r="U74" t="str">
        <f t="shared" si="13"/>
        <v>Keyboard</v>
      </c>
      <c r="V74">
        <f t="shared" si="14"/>
        <v>2024</v>
      </c>
      <c r="W74">
        <f t="shared" si="15"/>
        <v>11</v>
      </c>
      <c r="X74">
        <f t="shared" si="16"/>
        <v>21</v>
      </c>
      <c r="Y74" t="str">
        <f t="shared" si="17"/>
        <v>Nov</v>
      </c>
      <c r="Z74">
        <f t="shared" si="18"/>
        <v>9</v>
      </c>
    </row>
    <row r="75" spans="1:26" ht="15.75" customHeight="1" x14ac:dyDescent="0.3">
      <c r="A75" s="2" t="s">
        <v>258</v>
      </c>
      <c r="B75" s="2" t="s">
        <v>259</v>
      </c>
      <c r="C75" s="2" t="s">
        <v>37</v>
      </c>
      <c r="D75" s="2" t="s">
        <v>19</v>
      </c>
      <c r="E75" s="2" t="s">
        <v>44</v>
      </c>
      <c r="F75" s="2">
        <v>9</v>
      </c>
      <c r="G75" s="2">
        <v>336.24</v>
      </c>
      <c r="H75" s="2">
        <v>3026.16</v>
      </c>
      <c r="I75" s="2">
        <v>2097.92</v>
      </c>
      <c r="J75" s="2">
        <v>928.24</v>
      </c>
      <c r="K75" s="3">
        <v>45977</v>
      </c>
      <c r="L75" s="3">
        <v>45985</v>
      </c>
      <c r="M75" s="2" t="s">
        <v>26</v>
      </c>
      <c r="N75" s="2">
        <v>2</v>
      </c>
      <c r="O75" s="2" t="s">
        <v>260</v>
      </c>
      <c r="P75" s="25">
        <v>7.8</v>
      </c>
      <c r="Q75" t="str">
        <f t="shared" si="10"/>
        <v>0074</v>
      </c>
      <c r="R75" t="str">
        <f>IF('RETAIL SALES DATA.'!H75&gt;AVERAGE('RETAIL SALES DATA.'!H75:H1074),"HIGHEST VALUE","LOWEST VALUE")</f>
        <v>LOWEST VALUE</v>
      </c>
      <c r="S75" t="str">
        <f t="shared" si="11"/>
        <v>Profit</v>
      </c>
      <c r="T75" t="str">
        <f t="shared" si="12"/>
        <v>Brandon Ford</v>
      </c>
      <c r="U75" t="str">
        <f t="shared" si="13"/>
        <v>Marker</v>
      </c>
      <c r="V75">
        <f t="shared" si="14"/>
        <v>2025</v>
      </c>
      <c r="W75">
        <f t="shared" si="15"/>
        <v>11</v>
      </c>
      <c r="X75">
        <f t="shared" si="16"/>
        <v>16</v>
      </c>
      <c r="Y75" t="str">
        <f t="shared" si="17"/>
        <v>Nov</v>
      </c>
      <c r="Z75">
        <f t="shared" si="18"/>
        <v>8</v>
      </c>
    </row>
    <row r="76" spans="1:26" ht="15.75" customHeight="1" x14ac:dyDescent="0.3">
      <c r="A76" s="2" t="s">
        <v>261</v>
      </c>
      <c r="B76" s="2" t="s">
        <v>262</v>
      </c>
      <c r="C76" s="2" t="s">
        <v>30</v>
      </c>
      <c r="D76" s="2" t="s">
        <v>31</v>
      </c>
      <c r="E76" s="2" t="s">
        <v>32</v>
      </c>
      <c r="F76" s="2">
        <v>18</v>
      </c>
      <c r="G76" s="2">
        <v>267.77999999999997</v>
      </c>
      <c r="H76" s="2">
        <v>4820.04</v>
      </c>
      <c r="I76" s="2">
        <v>2543.08</v>
      </c>
      <c r="J76" s="2">
        <v>2276.96</v>
      </c>
      <c r="K76" s="3">
        <v>45554</v>
      </c>
      <c r="L76" s="3">
        <v>45560</v>
      </c>
      <c r="M76" s="2" t="s">
        <v>58</v>
      </c>
      <c r="N76" s="2">
        <v>2</v>
      </c>
      <c r="O76" s="2" t="s">
        <v>178</v>
      </c>
      <c r="P76" s="25">
        <v>9.4</v>
      </c>
      <c r="Q76" t="str">
        <f t="shared" si="10"/>
        <v>0075</v>
      </c>
      <c r="R76" t="str">
        <f>IF('RETAIL SALES DATA.'!H76&gt;AVERAGE('RETAIL SALES DATA.'!H76:H1075),"HIGHEST VALUE","LOWEST VALUE")</f>
        <v>LOWEST VALUE</v>
      </c>
      <c r="S76" t="str">
        <f t="shared" si="11"/>
        <v>Profit</v>
      </c>
      <c r="T76" t="str">
        <f t="shared" si="12"/>
        <v>Shelia Hayes</v>
      </c>
      <c r="U76" t="str">
        <f t="shared" si="13"/>
        <v>Desk</v>
      </c>
      <c r="V76">
        <f t="shared" si="14"/>
        <v>2024</v>
      </c>
      <c r="W76">
        <f t="shared" si="15"/>
        <v>9</v>
      </c>
      <c r="X76">
        <f t="shared" si="16"/>
        <v>19</v>
      </c>
      <c r="Y76" t="str">
        <f t="shared" si="17"/>
        <v>Sep</v>
      </c>
      <c r="Z76">
        <f t="shared" si="18"/>
        <v>6</v>
      </c>
    </row>
    <row r="77" spans="1:26" ht="15.75" customHeight="1" x14ac:dyDescent="0.3">
      <c r="A77" s="2" t="s">
        <v>263</v>
      </c>
      <c r="B77" s="2" t="s">
        <v>264</v>
      </c>
      <c r="C77" s="2" t="s">
        <v>88</v>
      </c>
      <c r="D77" s="2" t="s">
        <v>31</v>
      </c>
      <c r="E77" s="2" t="s">
        <v>44</v>
      </c>
      <c r="F77" s="2">
        <v>7</v>
      </c>
      <c r="G77" s="2">
        <v>3200.55</v>
      </c>
      <c r="H77" s="2">
        <v>22403.85</v>
      </c>
      <c r="I77" s="2">
        <v>14603.06</v>
      </c>
      <c r="J77" s="2">
        <v>7800.79</v>
      </c>
      <c r="K77" s="3">
        <v>45668</v>
      </c>
      <c r="L77" s="3">
        <v>45669</v>
      </c>
      <c r="M77" s="2" t="s">
        <v>69</v>
      </c>
      <c r="N77" s="2">
        <v>2</v>
      </c>
      <c r="O77" s="2" t="s">
        <v>22</v>
      </c>
      <c r="P77" s="25">
        <v>6.6</v>
      </c>
      <c r="Q77" t="str">
        <f t="shared" si="10"/>
        <v>0076</v>
      </c>
      <c r="R77" t="str">
        <f>IF('RETAIL SALES DATA.'!H77&gt;AVERAGE('RETAIL SALES DATA.'!H77:H1076),"HIGHEST VALUE","LOWEST VALUE")</f>
        <v>LOWEST VALUE</v>
      </c>
      <c r="S77" t="str">
        <f t="shared" si="11"/>
        <v>Profit</v>
      </c>
      <c r="T77" t="str">
        <f t="shared" si="12"/>
        <v>John Williams</v>
      </c>
      <c r="U77" t="str">
        <f t="shared" si="13"/>
        <v>Cupboard</v>
      </c>
      <c r="V77">
        <f t="shared" si="14"/>
        <v>2025</v>
      </c>
      <c r="W77">
        <f t="shared" si="15"/>
        <v>1</v>
      </c>
      <c r="X77">
        <f t="shared" si="16"/>
        <v>11</v>
      </c>
      <c r="Y77" t="str">
        <f t="shared" si="17"/>
        <v>Jan</v>
      </c>
      <c r="Z77">
        <f t="shared" si="18"/>
        <v>1</v>
      </c>
    </row>
    <row r="78" spans="1:26" ht="15.75" customHeight="1" x14ac:dyDescent="0.3">
      <c r="A78" s="2" t="s">
        <v>265</v>
      </c>
      <c r="B78" s="2" t="s">
        <v>266</v>
      </c>
      <c r="C78" s="2" t="s">
        <v>72</v>
      </c>
      <c r="D78" s="2" t="s">
        <v>31</v>
      </c>
      <c r="E78" s="2" t="s">
        <v>32</v>
      </c>
      <c r="F78" s="2">
        <v>19</v>
      </c>
      <c r="G78" s="2">
        <v>4010.22</v>
      </c>
      <c r="H78" s="2">
        <v>76194.179999999993</v>
      </c>
      <c r="I78" s="2">
        <v>61509.24</v>
      </c>
      <c r="J78" s="2">
        <v>14684.94</v>
      </c>
      <c r="K78" s="3">
        <v>45840</v>
      </c>
      <c r="L78" s="3">
        <v>45841</v>
      </c>
      <c r="M78" s="2" t="s">
        <v>58</v>
      </c>
      <c r="N78" s="2">
        <v>5</v>
      </c>
      <c r="O78" s="2" t="s">
        <v>267</v>
      </c>
      <c r="P78" s="25">
        <v>9.6</v>
      </c>
      <c r="Q78" t="str">
        <f t="shared" si="10"/>
        <v>0077</v>
      </c>
      <c r="R78" t="str">
        <f>IF('RETAIL SALES DATA.'!H78&gt;AVERAGE('RETAIL SALES DATA.'!H78:H1077),"HIGHEST VALUE","LOWEST VALUE")</f>
        <v>HIGHEST VALUE</v>
      </c>
      <c r="S78" t="str">
        <f t="shared" si="11"/>
        <v>Profit</v>
      </c>
      <c r="T78" t="str">
        <f t="shared" si="12"/>
        <v>Stacy Davis</v>
      </c>
      <c r="U78" t="str">
        <f t="shared" si="13"/>
        <v>Chair</v>
      </c>
      <c r="V78">
        <f t="shared" si="14"/>
        <v>2025</v>
      </c>
      <c r="W78">
        <f t="shared" si="15"/>
        <v>7</v>
      </c>
      <c r="X78">
        <f t="shared" si="16"/>
        <v>2</v>
      </c>
      <c r="Y78" t="str">
        <f t="shared" si="17"/>
        <v>Jul</v>
      </c>
      <c r="Z78">
        <f t="shared" si="18"/>
        <v>1</v>
      </c>
    </row>
    <row r="79" spans="1:26" ht="15.75" customHeight="1" x14ac:dyDescent="0.3">
      <c r="A79" s="2" t="s">
        <v>268</v>
      </c>
      <c r="B79" s="2" t="s">
        <v>269</v>
      </c>
      <c r="C79" s="2" t="s">
        <v>57</v>
      </c>
      <c r="D79" s="2" t="s">
        <v>19</v>
      </c>
      <c r="E79" s="2" t="s">
        <v>44</v>
      </c>
      <c r="F79" s="2">
        <v>5</v>
      </c>
      <c r="G79" s="2">
        <v>4017.43</v>
      </c>
      <c r="H79" s="2">
        <v>20087.150000000001</v>
      </c>
      <c r="I79" s="2">
        <v>14211.59</v>
      </c>
      <c r="J79" s="2">
        <v>5875.56</v>
      </c>
      <c r="K79" s="3">
        <v>45909</v>
      </c>
      <c r="L79" s="3">
        <v>45916</v>
      </c>
      <c r="M79" s="2" t="s">
        <v>38</v>
      </c>
      <c r="N79" s="2">
        <v>2</v>
      </c>
      <c r="O79" s="2" t="s">
        <v>270</v>
      </c>
      <c r="P79" s="25">
        <v>6.4</v>
      </c>
      <c r="Q79" t="str">
        <f t="shared" si="10"/>
        <v>0078</v>
      </c>
      <c r="R79" t="str">
        <f>IF('RETAIL SALES DATA.'!H79&gt;AVERAGE('RETAIL SALES DATA.'!H79:H1078),"HIGHEST VALUE","LOWEST VALUE")</f>
        <v>LOWEST VALUE</v>
      </c>
      <c r="S79" t="str">
        <f t="shared" si="11"/>
        <v>Profit</v>
      </c>
      <c r="T79" t="str">
        <f t="shared" si="12"/>
        <v>Deborah Fields</v>
      </c>
      <c r="U79" t="str">
        <f t="shared" si="13"/>
        <v>Notebook</v>
      </c>
      <c r="V79">
        <f t="shared" si="14"/>
        <v>2025</v>
      </c>
      <c r="W79">
        <f t="shared" si="15"/>
        <v>9</v>
      </c>
      <c r="X79">
        <f t="shared" si="16"/>
        <v>9</v>
      </c>
      <c r="Y79" t="str">
        <f t="shared" si="17"/>
        <v>Sep</v>
      </c>
      <c r="Z79">
        <f t="shared" si="18"/>
        <v>7</v>
      </c>
    </row>
    <row r="80" spans="1:26" ht="15.75" customHeight="1" x14ac:dyDescent="0.3">
      <c r="A80" s="2" t="s">
        <v>271</v>
      </c>
      <c r="B80" s="2" t="s">
        <v>272</v>
      </c>
      <c r="C80" s="2" t="s">
        <v>168</v>
      </c>
      <c r="D80" s="2" t="s">
        <v>43</v>
      </c>
      <c r="E80" s="2" t="s">
        <v>44</v>
      </c>
      <c r="F80" s="2">
        <v>10</v>
      </c>
      <c r="G80" s="2">
        <v>4810.09</v>
      </c>
      <c r="H80" s="2">
        <v>48100.9</v>
      </c>
      <c r="I80" s="2">
        <v>40090.86</v>
      </c>
      <c r="J80" s="2">
        <v>8010.04</v>
      </c>
      <c r="K80" s="3">
        <v>45882</v>
      </c>
      <c r="L80" s="3">
        <v>45890</v>
      </c>
      <c r="M80" s="2" t="s">
        <v>58</v>
      </c>
      <c r="N80" s="2">
        <v>2</v>
      </c>
      <c r="O80" s="2" t="s">
        <v>273</v>
      </c>
      <c r="P80" s="25">
        <v>7.8</v>
      </c>
      <c r="Q80" t="str">
        <f t="shared" si="10"/>
        <v>0079</v>
      </c>
      <c r="R80" t="str">
        <f>IF('RETAIL SALES DATA.'!H80&gt;AVERAGE('RETAIL SALES DATA.'!H80:H1079),"HIGHEST VALUE","LOWEST VALUE")</f>
        <v>HIGHEST VALUE</v>
      </c>
      <c r="S80" t="str">
        <f t="shared" si="11"/>
        <v>Profit</v>
      </c>
      <c r="T80" t="str">
        <f t="shared" si="12"/>
        <v>Shane Singleton</v>
      </c>
      <c r="U80" t="str">
        <f t="shared" si="13"/>
        <v>Keyboard</v>
      </c>
      <c r="V80">
        <f t="shared" si="14"/>
        <v>2025</v>
      </c>
      <c r="W80">
        <f t="shared" si="15"/>
        <v>8</v>
      </c>
      <c r="X80">
        <f t="shared" si="16"/>
        <v>13</v>
      </c>
      <c r="Y80" t="str">
        <f t="shared" si="17"/>
        <v>Aug</v>
      </c>
      <c r="Z80">
        <f t="shared" si="18"/>
        <v>8</v>
      </c>
    </row>
    <row r="81" spans="1:26" ht="15.75" customHeight="1" x14ac:dyDescent="0.3">
      <c r="A81" s="2" t="s">
        <v>274</v>
      </c>
      <c r="B81" s="2" t="s">
        <v>275</v>
      </c>
      <c r="C81" s="2" t="s">
        <v>49</v>
      </c>
      <c r="D81" s="2" t="s">
        <v>43</v>
      </c>
      <c r="E81" s="2" t="s">
        <v>20</v>
      </c>
      <c r="F81" s="2">
        <v>16</v>
      </c>
      <c r="G81" s="2">
        <v>4578.78</v>
      </c>
      <c r="H81" s="2">
        <v>73260.479999999996</v>
      </c>
      <c r="I81" s="2">
        <v>53876.52</v>
      </c>
      <c r="J81" s="2">
        <v>19383.96</v>
      </c>
      <c r="K81" s="3">
        <v>45957</v>
      </c>
      <c r="L81" s="3">
        <v>45961</v>
      </c>
      <c r="M81" s="2" t="s">
        <v>45</v>
      </c>
      <c r="N81" s="2">
        <v>4</v>
      </c>
      <c r="O81" s="2" t="s">
        <v>276</v>
      </c>
      <c r="P81" s="25">
        <v>7.5</v>
      </c>
      <c r="Q81" t="str">
        <f t="shared" si="10"/>
        <v>0080</v>
      </c>
      <c r="R81" t="str">
        <f>IF('RETAIL SALES DATA.'!H81&gt;AVERAGE('RETAIL SALES DATA.'!H81:H1080),"HIGHEST VALUE","LOWEST VALUE")</f>
        <v>HIGHEST VALUE</v>
      </c>
      <c r="S81" t="str">
        <f t="shared" si="11"/>
        <v>Profit</v>
      </c>
      <c r="T81" t="str">
        <f t="shared" si="12"/>
        <v>Robin Moore</v>
      </c>
      <c r="U81" t="str">
        <f t="shared" si="13"/>
        <v>Mouse</v>
      </c>
      <c r="V81">
        <f t="shared" si="14"/>
        <v>2025</v>
      </c>
      <c r="W81">
        <f t="shared" si="15"/>
        <v>10</v>
      </c>
      <c r="X81">
        <f t="shared" si="16"/>
        <v>27</v>
      </c>
      <c r="Y81" t="str">
        <f t="shared" si="17"/>
        <v>Oct</v>
      </c>
      <c r="Z81">
        <f t="shared" si="18"/>
        <v>4</v>
      </c>
    </row>
    <row r="82" spans="1:26" ht="15.75" customHeight="1" x14ac:dyDescent="0.3">
      <c r="A82" s="2" t="s">
        <v>277</v>
      </c>
      <c r="B82" s="2" t="s">
        <v>278</v>
      </c>
      <c r="C82" s="2" t="s">
        <v>219</v>
      </c>
      <c r="D82" s="2" t="s">
        <v>43</v>
      </c>
      <c r="E82" s="2" t="s">
        <v>20</v>
      </c>
      <c r="F82" s="2">
        <v>5</v>
      </c>
      <c r="G82" s="2">
        <v>3520.24</v>
      </c>
      <c r="H82" s="2">
        <v>17601.2</v>
      </c>
      <c r="I82" s="2">
        <v>14368.41</v>
      </c>
      <c r="J82" s="2">
        <v>3232.79</v>
      </c>
      <c r="K82" s="3">
        <v>45508</v>
      </c>
      <c r="L82" s="3">
        <v>45510</v>
      </c>
      <c r="M82" s="2" t="s">
        <v>26</v>
      </c>
      <c r="N82" s="2">
        <v>3</v>
      </c>
      <c r="O82" s="2" t="s">
        <v>76</v>
      </c>
      <c r="P82" s="25">
        <v>8.6999999999999993</v>
      </c>
      <c r="Q82" t="str">
        <f t="shared" si="10"/>
        <v>0081</v>
      </c>
      <c r="R82" t="str">
        <f>IF('RETAIL SALES DATA.'!H82&gt;AVERAGE('RETAIL SALES DATA.'!H82:H1081),"HIGHEST VALUE","LOWEST VALUE")</f>
        <v>LOWEST VALUE</v>
      </c>
      <c r="S82" t="str">
        <f t="shared" si="11"/>
        <v>Profit</v>
      </c>
      <c r="T82" t="str">
        <f t="shared" si="12"/>
        <v>Michael Rodriguez</v>
      </c>
      <c r="U82" t="str">
        <f t="shared" si="13"/>
        <v>Smartphone</v>
      </c>
      <c r="V82">
        <f t="shared" si="14"/>
        <v>2024</v>
      </c>
      <c r="W82">
        <f t="shared" si="15"/>
        <v>8</v>
      </c>
      <c r="X82">
        <f t="shared" si="16"/>
        <v>4</v>
      </c>
      <c r="Y82" t="str">
        <f t="shared" si="17"/>
        <v>Aug</v>
      </c>
      <c r="Z82">
        <f t="shared" si="18"/>
        <v>2</v>
      </c>
    </row>
    <row r="83" spans="1:26" ht="15.75" customHeight="1" x14ac:dyDescent="0.3">
      <c r="A83" s="2" t="s">
        <v>279</v>
      </c>
      <c r="B83" s="2" t="s">
        <v>280</v>
      </c>
      <c r="C83" s="2" t="s">
        <v>72</v>
      </c>
      <c r="D83" s="2" t="s">
        <v>31</v>
      </c>
      <c r="E83" s="2" t="s">
        <v>20</v>
      </c>
      <c r="F83" s="2">
        <v>17</v>
      </c>
      <c r="G83" s="2">
        <v>2068.91</v>
      </c>
      <c r="H83" s="2">
        <v>35171.47</v>
      </c>
      <c r="I83" s="2">
        <v>24374.54</v>
      </c>
      <c r="J83" s="2">
        <v>10796.93</v>
      </c>
      <c r="K83" s="3">
        <v>46101</v>
      </c>
      <c r="L83" s="3">
        <v>46105</v>
      </c>
      <c r="M83" s="2" t="s">
        <v>38</v>
      </c>
      <c r="N83" s="2">
        <v>4</v>
      </c>
      <c r="O83" s="2" t="s">
        <v>281</v>
      </c>
      <c r="P83" s="25">
        <v>7.1</v>
      </c>
      <c r="Q83" t="str">
        <f t="shared" si="10"/>
        <v>0082</v>
      </c>
      <c r="R83" t="str">
        <f>IF('RETAIL SALES DATA.'!H83&gt;AVERAGE('RETAIL SALES DATA.'!H83:H1082),"HIGHEST VALUE","LOWEST VALUE")</f>
        <v>HIGHEST VALUE</v>
      </c>
      <c r="S83" t="str">
        <f t="shared" si="11"/>
        <v>Profit</v>
      </c>
      <c r="T83" t="str">
        <f t="shared" si="12"/>
        <v>Benjamin Cummings</v>
      </c>
      <c r="U83" t="str">
        <f t="shared" si="13"/>
        <v>Chair</v>
      </c>
      <c r="V83">
        <f t="shared" si="14"/>
        <v>2026</v>
      </c>
      <c r="W83">
        <f t="shared" si="15"/>
        <v>3</v>
      </c>
      <c r="X83">
        <f t="shared" si="16"/>
        <v>20</v>
      </c>
      <c r="Y83" t="str">
        <f t="shared" si="17"/>
        <v>Mar</v>
      </c>
      <c r="Z83">
        <f t="shared" si="18"/>
        <v>4</v>
      </c>
    </row>
    <row r="84" spans="1:26" ht="15.75" customHeight="1" x14ac:dyDescent="0.3">
      <c r="A84" s="2" t="s">
        <v>282</v>
      </c>
      <c r="B84" s="2" t="s">
        <v>283</v>
      </c>
      <c r="C84" s="2" t="s">
        <v>219</v>
      </c>
      <c r="D84" s="2" t="s">
        <v>43</v>
      </c>
      <c r="E84" s="2" t="s">
        <v>44</v>
      </c>
      <c r="F84" s="2">
        <v>15</v>
      </c>
      <c r="G84" s="2">
        <v>1881.71</v>
      </c>
      <c r="H84" s="2">
        <v>28225.65</v>
      </c>
      <c r="I84" s="2">
        <v>23741.15</v>
      </c>
      <c r="J84" s="2">
        <v>4484.5</v>
      </c>
      <c r="K84" s="3">
        <v>45515</v>
      </c>
      <c r="L84" s="3">
        <v>45517</v>
      </c>
      <c r="M84" s="2" t="s">
        <v>45</v>
      </c>
      <c r="N84" s="2">
        <v>5</v>
      </c>
      <c r="O84" s="2" t="s">
        <v>284</v>
      </c>
      <c r="P84" s="25">
        <v>6.8</v>
      </c>
      <c r="Q84" t="str">
        <f t="shared" si="10"/>
        <v>0083</v>
      </c>
      <c r="R84" t="str">
        <f>IF('RETAIL SALES DATA.'!H84&gt;AVERAGE('RETAIL SALES DATA.'!H84:H1083),"HIGHEST VALUE","LOWEST VALUE")</f>
        <v>HIGHEST VALUE</v>
      </c>
      <c r="S84" t="str">
        <f t="shared" si="11"/>
        <v>Profit</v>
      </c>
      <c r="T84" t="str">
        <f t="shared" si="12"/>
        <v>Dale Cook</v>
      </c>
      <c r="U84" t="str">
        <f t="shared" si="13"/>
        <v>Smartphone</v>
      </c>
      <c r="V84">
        <f t="shared" si="14"/>
        <v>2024</v>
      </c>
      <c r="W84">
        <f t="shared" si="15"/>
        <v>8</v>
      </c>
      <c r="X84">
        <f t="shared" si="16"/>
        <v>11</v>
      </c>
      <c r="Y84" t="str">
        <f t="shared" si="17"/>
        <v>Aug</v>
      </c>
      <c r="Z84">
        <f t="shared" si="18"/>
        <v>2</v>
      </c>
    </row>
    <row r="85" spans="1:26" ht="15.75" customHeight="1" x14ac:dyDescent="0.3">
      <c r="A85" s="2" t="s">
        <v>285</v>
      </c>
      <c r="B85" s="2" t="s">
        <v>286</v>
      </c>
      <c r="C85" s="2" t="s">
        <v>144</v>
      </c>
      <c r="D85" s="2" t="s">
        <v>19</v>
      </c>
      <c r="E85" s="2" t="s">
        <v>32</v>
      </c>
      <c r="F85" s="2">
        <v>16</v>
      </c>
      <c r="G85" s="2">
        <v>1475.5</v>
      </c>
      <c r="H85" s="2">
        <v>23608</v>
      </c>
      <c r="I85" s="2">
        <v>15605.22</v>
      </c>
      <c r="J85" s="2">
        <v>8002.78</v>
      </c>
      <c r="K85" s="3">
        <v>45533</v>
      </c>
      <c r="L85" s="3">
        <v>45535</v>
      </c>
      <c r="M85" s="2" t="s">
        <v>26</v>
      </c>
      <c r="N85" s="2">
        <v>5</v>
      </c>
      <c r="O85" s="2" t="s">
        <v>39</v>
      </c>
      <c r="P85" s="25">
        <v>7.6</v>
      </c>
      <c r="Q85" t="str">
        <f t="shared" si="10"/>
        <v>0084</v>
      </c>
      <c r="R85" t="str">
        <f>IF('RETAIL SALES DATA.'!H85&gt;AVERAGE('RETAIL SALES DATA.'!H85:H1084),"HIGHEST VALUE","LOWEST VALUE")</f>
        <v>LOWEST VALUE</v>
      </c>
      <c r="S85" t="str">
        <f t="shared" si="11"/>
        <v>Profit</v>
      </c>
      <c r="T85" t="str">
        <f t="shared" si="12"/>
        <v>Nancy Scott</v>
      </c>
      <c r="U85" t="str">
        <f t="shared" si="13"/>
        <v>File</v>
      </c>
      <c r="V85">
        <f t="shared" si="14"/>
        <v>2024</v>
      </c>
      <c r="W85">
        <f t="shared" si="15"/>
        <v>8</v>
      </c>
      <c r="X85">
        <f t="shared" si="16"/>
        <v>29</v>
      </c>
      <c r="Y85" t="str">
        <f t="shared" si="17"/>
        <v>Aug</v>
      </c>
      <c r="Z85">
        <f t="shared" si="18"/>
        <v>2</v>
      </c>
    </row>
    <row r="86" spans="1:26" ht="15.75" customHeight="1" x14ac:dyDescent="0.3">
      <c r="A86" s="2" t="s">
        <v>287</v>
      </c>
      <c r="B86" s="2" t="s">
        <v>288</v>
      </c>
      <c r="C86" s="2" t="s">
        <v>72</v>
      </c>
      <c r="D86" s="2" t="s">
        <v>31</v>
      </c>
      <c r="E86" s="2" t="s">
        <v>25</v>
      </c>
      <c r="F86" s="2">
        <v>18</v>
      </c>
      <c r="G86" s="2">
        <v>3104.75</v>
      </c>
      <c r="H86" s="2">
        <v>55885.5</v>
      </c>
      <c r="I86" s="2">
        <v>36924.36</v>
      </c>
      <c r="J86" s="2">
        <v>18961.14</v>
      </c>
      <c r="K86" s="3">
        <v>46097</v>
      </c>
      <c r="L86" s="3">
        <v>46106</v>
      </c>
      <c r="M86" s="2" t="s">
        <v>45</v>
      </c>
      <c r="N86" s="2">
        <v>3</v>
      </c>
      <c r="O86" s="2" t="s">
        <v>289</v>
      </c>
      <c r="P86" s="25">
        <v>9.6</v>
      </c>
      <c r="Q86" t="str">
        <f t="shared" si="10"/>
        <v>0085</v>
      </c>
      <c r="R86" t="str">
        <f>IF('RETAIL SALES DATA.'!H86&gt;AVERAGE('RETAIL SALES DATA.'!H86:H1085),"HIGHEST VALUE","LOWEST VALUE")</f>
        <v>HIGHEST VALUE</v>
      </c>
      <c r="S86" t="str">
        <f t="shared" si="11"/>
        <v>Profit</v>
      </c>
      <c r="T86" t="str">
        <f t="shared" si="12"/>
        <v>Juan Perry</v>
      </c>
      <c r="U86" t="str">
        <f t="shared" si="13"/>
        <v>Chair</v>
      </c>
      <c r="V86">
        <f t="shared" si="14"/>
        <v>2026</v>
      </c>
      <c r="W86">
        <f t="shared" si="15"/>
        <v>3</v>
      </c>
      <c r="X86">
        <f t="shared" si="16"/>
        <v>16</v>
      </c>
      <c r="Y86" t="str">
        <f t="shared" si="17"/>
        <v>Mar</v>
      </c>
      <c r="Z86">
        <f t="shared" si="18"/>
        <v>9</v>
      </c>
    </row>
    <row r="87" spans="1:26" ht="15.75" customHeight="1" x14ac:dyDescent="0.3">
      <c r="A87" s="2" t="s">
        <v>290</v>
      </c>
      <c r="B87" s="2" t="s">
        <v>291</v>
      </c>
      <c r="C87" s="2" t="s">
        <v>42</v>
      </c>
      <c r="D87" s="2" t="s">
        <v>43</v>
      </c>
      <c r="E87" s="2" t="s">
        <v>44</v>
      </c>
      <c r="F87" s="2">
        <v>8</v>
      </c>
      <c r="G87" s="2">
        <v>500.32</v>
      </c>
      <c r="H87" s="2">
        <v>4002.56</v>
      </c>
      <c r="I87" s="2">
        <v>3506.24</v>
      </c>
      <c r="J87" s="2">
        <v>496.32</v>
      </c>
      <c r="K87" s="3">
        <v>46003</v>
      </c>
      <c r="L87" s="3">
        <v>46007</v>
      </c>
      <c r="M87" s="2" t="s">
        <v>69</v>
      </c>
      <c r="N87" s="2">
        <v>5</v>
      </c>
      <c r="O87" s="2" t="s">
        <v>208</v>
      </c>
      <c r="P87" s="25">
        <v>6.8</v>
      </c>
      <c r="Q87" t="str">
        <f t="shared" si="10"/>
        <v>0086</v>
      </c>
      <c r="R87" t="str">
        <f>IF('RETAIL SALES DATA.'!H87&gt;AVERAGE('RETAIL SALES DATA.'!H87:H1086),"HIGHEST VALUE","LOWEST VALUE")</f>
        <v>LOWEST VALUE</v>
      </c>
      <c r="S87" t="str">
        <f t="shared" si="11"/>
        <v>Profit</v>
      </c>
      <c r="T87" t="str">
        <f t="shared" si="12"/>
        <v>Christopher Johnson</v>
      </c>
      <c r="U87" t="str">
        <f t="shared" si="13"/>
        <v>Laptop</v>
      </c>
      <c r="V87">
        <f t="shared" si="14"/>
        <v>2025</v>
      </c>
      <c r="W87">
        <f t="shared" si="15"/>
        <v>12</v>
      </c>
      <c r="X87">
        <f t="shared" si="16"/>
        <v>12</v>
      </c>
      <c r="Y87" t="str">
        <f t="shared" si="17"/>
        <v>Dec</v>
      </c>
      <c r="Z87">
        <f t="shared" si="18"/>
        <v>4</v>
      </c>
    </row>
    <row r="88" spans="1:26" ht="15.75" customHeight="1" x14ac:dyDescent="0.3">
      <c r="A88" s="2" t="s">
        <v>292</v>
      </c>
      <c r="B88" s="2" t="s">
        <v>293</v>
      </c>
      <c r="C88" s="2" t="s">
        <v>42</v>
      </c>
      <c r="D88" s="2" t="s">
        <v>43</v>
      </c>
      <c r="E88" s="2" t="s">
        <v>44</v>
      </c>
      <c r="F88" s="2">
        <v>19</v>
      </c>
      <c r="G88" s="2">
        <v>4084.08</v>
      </c>
      <c r="H88" s="2">
        <v>77597.52</v>
      </c>
      <c r="I88" s="2">
        <v>63952.55</v>
      </c>
      <c r="J88" s="2">
        <v>13644.97</v>
      </c>
      <c r="K88" s="3">
        <v>46103</v>
      </c>
      <c r="L88" s="3">
        <v>46108</v>
      </c>
      <c r="M88" s="2" t="s">
        <v>123</v>
      </c>
      <c r="N88" s="2">
        <v>2</v>
      </c>
      <c r="O88" s="2" t="s">
        <v>294</v>
      </c>
      <c r="P88" s="25">
        <v>7.7</v>
      </c>
      <c r="Q88" t="str">
        <f t="shared" si="10"/>
        <v>0087</v>
      </c>
      <c r="R88" t="str">
        <f>IF('RETAIL SALES DATA.'!H88&gt;AVERAGE('RETAIL SALES DATA.'!H88:H1087),"HIGHEST VALUE","LOWEST VALUE")</f>
        <v>HIGHEST VALUE</v>
      </c>
      <c r="S88" t="str">
        <f t="shared" si="11"/>
        <v>Profit</v>
      </c>
      <c r="T88" t="str">
        <f t="shared" si="12"/>
        <v>Christopher Noble</v>
      </c>
      <c r="U88" t="str">
        <f t="shared" si="13"/>
        <v>Laptop</v>
      </c>
      <c r="V88">
        <f t="shared" si="14"/>
        <v>2026</v>
      </c>
      <c r="W88">
        <f t="shared" si="15"/>
        <v>3</v>
      </c>
      <c r="X88">
        <f t="shared" si="16"/>
        <v>22</v>
      </c>
      <c r="Y88" t="str">
        <f t="shared" si="17"/>
        <v>Mar</v>
      </c>
      <c r="Z88">
        <f t="shared" si="18"/>
        <v>5</v>
      </c>
    </row>
    <row r="89" spans="1:26" ht="15.75" customHeight="1" x14ac:dyDescent="0.3">
      <c r="A89" s="2" t="s">
        <v>295</v>
      </c>
      <c r="B89" s="2" t="s">
        <v>296</v>
      </c>
      <c r="C89" s="2" t="s">
        <v>72</v>
      </c>
      <c r="D89" s="2" t="s">
        <v>31</v>
      </c>
      <c r="E89" s="2" t="s">
        <v>20</v>
      </c>
      <c r="F89" s="2">
        <v>7</v>
      </c>
      <c r="G89" s="2">
        <v>4753.59</v>
      </c>
      <c r="H89" s="2">
        <v>33275.129999999997</v>
      </c>
      <c r="I89" s="2">
        <v>29211.77</v>
      </c>
      <c r="J89" s="2">
        <v>4063.36</v>
      </c>
      <c r="K89" s="3">
        <v>45471</v>
      </c>
      <c r="L89" s="3">
        <v>45477</v>
      </c>
      <c r="M89" s="2" t="s">
        <v>181</v>
      </c>
      <c r="N89" s="2">
        <v>3</v>
      </c>
      <c r="O89" s="2" t="s">
        <v>297</v>
      </c>
      <c r="P89" s="25">
        <v>6.8</v>
      </c>
      <c r="Q89" t="str">
        <f t="shared" si="10"/>
        <v>0088</v>
      </c>
      <c r="R89" t="str">
        <f>IF('RETAIL SALES DATA.'!H89&gt;AVERAGE('RETAIL SALES DATA.'!H89:H1088),"HIGHEST VALUE","LOWEST VALUE")</f>
        <v>HIGHEST VALUE</v>
      </c>
      <c r="S89" t="str">
        <f t="shared" si="11"/>
        <v>Profit</v>
      </c>
      <c r="T89" t="str">
        <f t="shared" si="12"/>
        <v>Alejandro Wilson</v>
      </c>
      <c r="U89" t="str">
        <f t="shared" si="13"/>
        <v>Chair</v>
      </c>
      <c r="V89">
        <f t="shared" si="14"/>
        <v>2024</v>
      </c>
      <c r="W89">
        <f t="shared" si="15"/>
        <v>7</v>
      </c>
      <c r="X89">
        <f t="shared" si="16"/>
        <v>28</v>
      </c>
      <c r="Y89" t="str">
        <f t="shared" si="17"/>
        <v>Jun</v>
      </c>
      <c r="Z89">
        <f t="shared" si="18"/>
        <v>6</v>
      </c>
    </row>
    <row r="90" spans="1:26" ht="15.75" customHeight="1" x14ac:dyDescent="0.3">
      <c r="A90" s="2" t="s">
        <v>298</v>
      </c>
      <c r="B90" s="2" t="s">
        <v>299</v>
      </c>
      <c r="C90" s="2" t="s">
        <v>57</v>
      </c>
      <c r="D90" s="2" t="s">
        <v>19</v>
      </c>
      <c r="E90" s="2" t="s">
        <v>32</v>
      </c>
      <c r="F90" s="2">
        <v>11</v>
      </c>
      <c r="G90" s="2">
        <v>2880.98</v>
      </c>
      <c r="H90" s="2">
        <v>31690.78</v>
      </c>
      <c r="I90" s="2">
        <v>27343.8</v>
      </c>
      <c r="J90" s="2">
        <v>4346.9799999999996</v>
      </c>
      <c r="K90" s="3">
        <v>45899</v>
      </c>
      <c r="L90" s="3">
        <v>45903</v>
      </c>
      <c r="M90" s="2" t="s">
        <v>69</v>
      </c>
      <c r="N90" s="2">
        <v>4</v>
      </c>
      <c r="O90" s="2" t="s">
        <v>300</v>
      </c>
      <c r="P90" s="25">
        <v>7.4</v>
      </c>
      <c r="Q90" t="str">
        <f t="shared" si="10"/>
        <v>0089</v>
      </c>
      <c r="R90" t="str">
        <f>IF('RETAIL SALES DATA.'!H90&gt;AVERAGE('RETAIL SALES DATA.'!H90:H1089),"HIGHEST VALUE","LOWEST VALUE")</f>
        <v>HIGHEST VALUE</v>
      </c>
      <c r="S90" t="str">
        <f t="shared" si="11"/>
        <v>Profit</v>
      </c>
      <c r="T90" t="str">
        <f t="shared" si="12"/>
        <v>Raymond Perez</v>
      </c>
      <c r="U90" t="str">
        <f t="shared" si="13"/>
        <v>Notebook</v>
      </c>
      <c r="V90">
        <f t="shared" si="14"/>
        <v>2025</v>
      </c>
      <c r="W90">
        <f t="shared" si="15"/>
        <v>9</v>
      </c>
      <c r="X90">
        <f t="shared" si="16"/>
        <v>30</v>
      </c>
      <c r="Y90" t="str">
        <f t="shared" si="17"/>
        <v>Aug</v>
      </c>
      <c r="Z90">
        <f t="shared" si="18"/>
        <v>4</v>
      </c>
    </row>
    <row r="91" spans="1:26" ht="15.75" customHeight="1" x14ac:dyDescent="0.3">
      <c r="A91" s="2" t="s">
        <v>301</v>
      </c>
      <c r="B91" s="2" t="s">
        <v>302</v>
      </c>
      <c r="C91" s="2" t="s">
        <v>30</v>
      </c>
      <c r="D91" s="2" t="s">
        <v>31</v>
      </c>
      <c r="E91" s="2" t="s">
        <v>44</v>
      </c>
      <c r="F91" s="2">
        <v>10</v>
      </c>
      <c r="G91" s="2">
        <v>3521.88</v>
      </c>
      <c r="H91" s="2">
        <v>35218.800000000003</v>
      </c>
      <c r="I91" s="2">
        <v>30325.49</v>
      </c>
      <c r="J91" s="2">
        <v>4893.3100000000004</v>
      </c>
      <c r="K91" s="3">
        <v>45775</v>
      </c>
      <c r="L91" s="3">
        <v>45776</v>
      </c>
      <c r="M91" s="2" t="s">
        <v>26</v>
      </c>
      <c r="N91" s="2">
        <v>1</v>
      </c>
      <c r="O91" s="2" t="s">
        <v>297</v>
      </c>
      <c r="P91" s="25">
        <v>6.5</v>
      </c>
      <c r="Q91" t="str">
        <f t="shared" si="10"/>
        <v>0090</v>
      </c>
      <c r="R91" t="str">
        <f>IF('RETAIL SALES DATA.'!H91&gt;AVERAGE('RETAIL SALES DATA.'!H91:H1090),"HIGHEST VALUE","LOWEST VALUE")</f>
        <v>HIGHEST VALUE</v>
      </c>
      <c r="S91" t="str">
        <f t="shared" si="11"/>
        <v>Profit</v>
      </c>
      <c r="T91" t="str">
        <f t="shared" si="12"/>
        <v>Tracy Parker</v>
      </c>
      <c r="U91" t="str">
        <f t="shared" si="13"/>
        <v>Desk</v>
      </c>
      <c r="V91">
        <f t="shared" si="14"/>
        <v>2025</v>
      </c>
      <c r="W91">
        <f t="shared" si="15"/>
        <v>4</v>
      </c>
      <c r="X91">
        <f t="shared" si="16"/>
        <v>28</v>
      </c>
      <c r="Y91" t="str">
        <f t="shared" si="17"/>
        <v>Apr</v>
      </c>
      <c r="Z91">
        <f t="shared" si="18"/>
        <v>1</v>
      </c>
    </row>
    <row r="92" spans="1:26" ht="15.75" customHeight="1" x14ac:dyDescent="0.3">
      <c r="A92" s="2" t="s">
        <v>303</v>
      </c>
      <c r="B92" s="2" t="s">
        <v>304</v>
      </c>
      <c r="C92" s="2" t="s">
        <v>72</v>
      </c>
      <c r="D92" s="2" t="s">
        <v>31</v>
      </c>
      <c r="E92" s="2" t="s">
        <v>20</v>
      </c>
      <c r="F92" s="2">
        <v>20</v>
      </c>
      <c r="G92" s="2">
        <v>2784.39</v>
      </c>
      <c r="H92" s="2">
        <v>55687.8</v>
      </c>
      <c r="I92" s="2">
        <v>39923.4</v>
      </c>
      <c r="J92" s="2">
        <v>15764.4</v>
      </c>
      <c r="K92" s="3">
        <v>45458</v>
      </c>
      <c r="L92" s="3">
        <v>45465</v>
      </c>
      <c r="M92" s="2" t="s">
        <v>26</v>
      </c>
      <c r="N92" s="2">
        <v>2</v>
      </c>
      <c r="O92" s="2" t="s">
        <v>305</v>
      </c>
      <c r="P92" s="25">
        <v>8</v>
      </c>
      <c r="Q92" t="str">
        <f t="shared" si="10"/>
        <v>0091</v>
      </c>
      <c r="R92" t="str">
        <f>IF('RETAIL SALES DATA.'!H92&gt;AVERAGE('RETAIL SALES DATA.'!H92:H1091),"HIGHEST VALUE","LOWEST VALUE")</f>
        <v>HIGHEST VALUE</v>
      </c>
      <c r="S92" t="str">
        <f t="shared" si="11"/>
        <v>Profit</v>
      </c>
      <c r="T92" t="str">
        <f t="shared" si="12"/>
        <v>Katelyn Woods</v>
      </c>
      <c r="U92" t="str">
        <f t="shared" si="13"/>
        <v>Chair</v>
      </c>
      <c r="V92">
        <f t="shared" si="14"/>
        <v>2024</v>
      </c>
      <c r="W92">
        <f t="shared" si="15"/>
        <v>6</v>
      </c>
      <c r="X92">
        <f t="shared" si="16"/>
        <v>15</v>
      </c>
      <c r="Y92" t="str">
        <f t="shared" si="17"/>
        <v>Jun</v>
      </c>
      <c r="Z92">
        <f t="shared" si="18"/>
        <v>7</v>
      </c>
    </row>
    <row r="93" spans="1:26" ht="15.75" customHeight="1" x14ac:dyDescent="0.3">
      <c r="A93" s="2" t="s">
        <v>306</v>
      </c>
      <c r="B93" s="2" t="s">
        <v>307</v>
      </c>
      <c r="C93" s="2" t="s">
        <v>42</v>
      </c>
      <c r="D93" s="2" t="s">
        <v>43</v>
      </c>
      <c r="E93" s="2" t="s">
        <v>20</v>
      </c>
      <c r="F93" s="2">
        <v>4</v>
      </c>
      <c r="G93" s="2">
        <v>4871.3999999999996</v>
      </c>
      <c r="H93" s="2">
        <v>19485.599999999999</v>
      </c>
      <c r="I93" s="2">
        <v>15361.62</v>
      </c>
      <c r="J93" s="2">
        <v>4123.9799999999996</v>
      </c>
      <c r="K93" s="3">
        <v>46108</v>
      </c>
      <c r="L93" s="3">
        <v>46116</v>
      </c>
      <c r="M93" s="2" t="s">
        <v>45</v>
      </c>
      <c r="N93" s="2">
        <v>5</v>
      </c>
      <c r="O93" s="2" t="s">
        <v>308</v>
      </c>
      <c r="P93" s="25">
        <v>7.1</v>
      </c>
      <c r="Q93" t="str">
        <f t="shared" si="10"/>
        <v>0092</v>
      </c>
      <c r="R93" t="str">
        <f>IF('RETAIL SALES DATA.'!H93&gt;AVERAGE('RETAIL SALES DATA.'!H93:H1092),"HIGHEST VALUE","LOWEST VALUE")</f>
        <v>LOWEST VALUE</v>
      </c>
      <c r="S93" t="str">
        <f t="shared" si="11"/>
        <v>Profit</v>
      </c>
      <c r="T93" t="str">
        <f t="shared" si="12"/>
        <v>Michael Lindsey</v>
      </c>
      <c r="U93" t="str">
        <f t="shared" si="13"/>
        <v>Laptop</v>
      </c>
      <c r="V93">
        <f t="shared" si="14"/>
        <v>2026</v>
      </c>
      <c r="W93">
        <f t="shared" si="15"/>
        <v>4</v>
      </c>
      <c r="X93">
        <f t="shared" si="16"/>
        <v>27</v>
      </c>
      <c r="Y93" t="str">
        <f t="shared" si="17"/>
        <v>Mar</v>
      </c>
      <c r="Z93">
        <f t="shared" si="18"/>
        <v>8</v>
      </c>
    </row>
    <row r="94" spans="1:26" ht="15.75" customHeight="1" x14ac:dyDescent="0.3">
      <c r="A94" s="2" t="s">
        <v>309</v>
      </c>
      <c r="B94" s="2" t="s">
        <v>310</v>
      </c>
      <c r="C94" s="2" t="s">
        <v>37</v>
      </c>
      <c r="D94" s="2" t="s">
        <v>19</v>
      </c>
      <c r="E94" s="2" t="s">
        <v>44</v>
      </c>
      <c r="F94" s="2">
        <v>13</v>
      </c>
      <c r="G94" s="2">
        <v>2833.33</v>
      </c>
      <c r="H94" s="2">
        <v>36833.29</v>
      </c>
      <c r="I94" s="2">
        <v>29350.76</v>
      </c>
      <c r="J94" s="2">
        <v>7482.53</v>
      </c>
      <c r="K94" s="3">
        <v>45859</v>
      </c>
      <c r="L94" s="3">
        <v>45862</v>
      </c>
      <c r="M94" s="2" t="s">
        <v>50</v>
      </c>
      <c r="N94" s="2">
        <v>4</v>
      </c>
      <c r="O94" s="2" t="s">
        <v>267</v>
      </c>
      <c r="P94" s="25">
        <v>7.5</v>
      </c>
      <c r="Q94" t="str">
        <f t="shared" si="10"/>
        <v>0093</v>
      </c>
      <c r="R94" t="str">
        <f>IF('RETAIL SALES DATA.'!H94&gt;AVERAGE('RETAIL SALES DATA.'!H94:H1093),"HIGHEST VALUE","LOWEST VALUE")</f>
        <v>HIGHEST VALUE</v>
      </c>
      <c r="S94" t="str">
        <f t="shared" si="11"/>
        <v>Profit</v>
      </c>
      <c r="T94" t="str">
        <f t="shared" si="12"/>
        <v>Jesse Davis</v>
      </c>
      <c r="U94" t="str">
        <f t="shared" si="13"/>
        <v>Marker</v>
      </c>
      <c r="V94">
        <f t="shared" si="14"/>
        <v>2025</v>
      </c>
      <c r="W94">
        <f t="shared" si="15"/>
        <v>7</v>
      </c>
      <c r="X94">
        <f t="shared" si="16"/>
        <v>21</v>
      </c>
      <c r="Y94" t="str">
        <f t="shared" si="17"/>
        <v>Jul</v>
      </c>
      <c r="Z94">
        <f t="shared" si="18"/>
        <v>3</v>
      </c>
    </row>
    <row r="95" spans="1:26" ht="15.75" customHeight="1" x14ac:dyDescent="0.3">
      <c r="A95" s="2" t="s">
        <v>311</v>
      </c>
      <c r="B95" s="2" t="s">
        <v>312</v>
      </c>
      <c r="C95" s="2" t="s">
        <v>42</v>
      </c>
      <c r="D95" s="2" t="s">
        <v>43</v>
      </c>
      <c r="E95" s="2" t="s">
        <v>32</v>
      </c>
      <c r="F95" s="2">
        <v>13</v>
      </c>
      <c r="G95" s="2">
        <v>655.20000000000005</v>
      </c>
      <c r="H95" s="2">
        <v>8517.6</v>
      </c>
      <c r="I95" s="2">
        <v>5244.88</v>
      </c>
      <c r="J95" s="2">
        <v>3272.72</v>
      </c>
      <c r="K95" s="3">
        <v>45618</v>
      </c>
      <c r="L95" s="3">
        <v>45627</v>
      </c>
      <c r="M95" s="2" t="s">
        <v>45</v>
      </c>
      <c r="N95" s="2">
        <v>3</v>
      </c>
      <c r="O95" s="2" t="s">
        <v>313</v>
      </c>
      <c r="P95" s="25">
        <v>6</v>
      </c>
      <c r="Q95" t="str">
        <f t="shared" si="10"/>
        <v>0094</v>
      </c>
      <c r="R95" t="str">
        <f>IF('RETAIL SALES DATA.'!H95&gt;AVERAGE('RETAIL SALES DATA.'!H95:H1094),"HIGHEST VALUE","LOWEST VALUE")</f>
        <v>LOWEST VALUE</v>
      </c>
      <c r="S95" t="str">
        <f t="shared" si="11"/>
        <v>Profit</v>
      </c>
      <c r="T95" t="str">
        <f t="shared" si="12"/>
        <v>Katrina Hayes</v>
      </c>
      <c r="U95" t="str">
        <f t="shared" si="13"/>
        <v>Laptop</v>
      </c>
      <c r="V95">
        <f t="shared" si="14"/>
        <v>2024</v>
      </c>
      <c r="W95">
        <f t="shared" si="15"/>
        <v>12</v>
      </c>
      <c r="X95">
        <f t="shared" si="16"/>
        <v>22</v>
      </c>
      <c r="Y95" t="str">
        <f t="shared" si="17"/>
        <v>Nov</v>
      </c>
      <c r="Z95">
        <f t="shared" si="18"/>
        <v>9</v>
      </c>
    </row>
    <row r="96" spans="1:26" ht="15.75" customHeight="1" x14ac:dyDescent="0.3">
      <c r="A96" s="2" t="s">
        <v>314</v>
      </c>
      <c r="B96" s="2" t="s">
        <v>315</v>
      </c>
      <c r="C96" s="2" t="s">
        <v>18</v>
      </c>
      <c r="D96" s="2" t="s">
        <v>19</v>
      </c>
      <c r="E96" s="2" t="s">
        <v>25</v>
      </c>
      <c r="F96" s="2">
        <v>17</v>
      </c>
      <c r="G96" s="2">
        <v>3162.15</v>
      </c>
      <c r="H96" s="2">
        <v>53756.55</v>
      </c>
      <c r="I96" s="2">
        <v>41259.93</v>
      </c>
      <c r="J96" s="2">
        <v>12496.62</v>
      </c>
      <c r="K96" s="3">
        <v>45523</v>
      </c>
      <c r="L96" s="3">
        <v>45530</v>
      </c>
      <c r="M96" s="2" t="s">
        <v>38</v>
      </c>
      <c r="N96" s="2">
        <v>3</v>
      </c>
      <c r="O96" s="2" t="s">
        <v>108</v>
      </c>
      <c r="P96" s="25">
        <v>9.9</v>
      </c>
      <c r="Q96" t="str">
        <f t="shared" si="10"/>
        <v>0095</v>
      </c>
      <c r="R96" t="str">
        <f>IF('RETAIL SALES DATA.'!H96&gt;AVERAGE('RETAIL SALES DATA.'!H96:H1095),"HIGHEST VALUE","LOWEST VALUE")</f>
        <v>HIGHEST VALUE</v>
      </c>
      <c r="S96" t="str">
        <f t="shared" si="11"/>
        <v>Profit</v>
      </c>
      <c r="T96" t="str">
        <f t="shared" si="12"/>
        <v>Jason Weber</v>
      </c>
      <c r="U96" t="str">
        <f t="shared" si="13"/>
        <v>Pen</v>
      </c>
      <c r="V96">
        <f t="shared" si="14"/>
        <v>2024</v>
      </c>
      <c r="W96">
        <f t="shared" si="15"/>
        <v>8</v>
      </c>
      <c r="X96">
        <f t="shared" si="16"/>
        <v>19</v>
      </c>
      <c r="Y96" t="str">
        <f t="shared" si="17"/>
        <v>Aug</v>
      </c>
      <c r="Z96">
        <f t="shared" si="18"/>
        <v>7</v>
      </c>
    </row>
    <row r="97" spans="1:26" ht="15.75" customHeight="1" x14ac:dyDescent="0.3">
      <c r="A97" s="2" t="s">
        <v>316</v>
      </c>
      <c r="B97" s="2" t="s">
        <v>317</v>
      </c>
      <c r="C97" s="2" t="s">
        <v>139</v>
      </c>
      <c r="D97" s="2" t="s">
        <v>31</v>
      </c>
      <c r="E97" s="2" t="s">
        <v>44</v>
      </c>
      <c r="F97" s="2">
        <v>17</v>
      </c>
      <c r="G97" s="2">
        <v>3335.57</v>
      </c>
      <c r="H97" s="2">
        <v>56704.69</v>
      </c>
      <c r="I97" s="2">
        <v>32110.959999999999</v>
      </c>
      <c r="J97" s="2">
        <v>24593.73</v>
      </c>
      <c r="K97" s="3">
        <v>45611</v>
      </c>
      <c r="L97" s="3">
        <v>45621</v>
      </c>
      <c r="M97" s="2" t="s">
        <v>181</v>
      </c>
      <c r="N97" s="2">
        <v>5</v>
      </c>
      <c r="O97" s="2" t="s">
        <v>318</v>
      </c>
      <c r="P97" s="25">
        <v>8.6999999999999993</v>
      </c>
      <c r="Q97" t="str">
        <f t="shared" si="10"/>
        <v>0096</v>
      </c>
      <c r="R97" t="str">
        <f>IF('RETAIL SALES DATA.'!H97&gt;AVERAGE('RETAIL SALES DATA.'!H97:H1096),"HIGHEST VALUE","LOWEST VALUE")</f>
        <v>HIGHEST VALUE</v>
      </c>
      <c r="S97" t="str">
        <f t="shared" si="11"/>
        <v>Profit</v>
      </c>
      <c r="T97" t="str">
        <f t="shared" si="12"/>
        <v>John Pope</v>
      </c>
      <c r="U97" t="str">
        <f t="shared" si="13"/>
        <v>Sofa</v>
      </c>
      <c r="V97">
        <f t="shared" si="14"/>
        <v>2024</v>
      </c>
      <c r="W97">
        <f t="shared" si="15"/>
        <v>11</v>
      </c>
      <c r="X97">
        <f t="shared" si="16"/>
        <v>15</v>
      </c>
      <c r="Y97" t="str">
        <f t="shared" si="17"/>
        <v>Nov</v>
      </c>
      <c r="Z97">
        <f t="shared" si="18"/>
        <v>10</v>
      </c>
    </row>
    <row r="98" spans="1:26" ht="15.75" customHeight="1" x14ac:dyDescent="0.3">
      <c r="A98" s="2" t="s">
        <v>319</v>
      </c>
      <c r="B98" s="2" t="s">
        <v>320</v>
      </c>
      <c r="C98" s="2" t="s">
        <v>144</v>
      </c>
      <c r="D98" s="2" t="s">
        <v>19</v>
      </c>
      <c r="E98" s="2" t="s">
        <v>25</v>
      </c>
      <c r="F98" s="2">
        <v>11</v>
      </c>
      <c r="G98" s="2">
        <v>3180.88</v>
      </c>
      <c r="H98" s="2">
        <v>34989.68</v>
      </c>
      <c r="I98" s="2">
        <v>21284.66</v>
      </c>
      <c r="J98" s="2">
        <v>13705.02</v>
      </c>
      <c r="K98" s="3">
        <v>45621</v>
      </c>
      <c r="L98" s="3">
        <v>45631</v>
      </c>
      <c r="M98" s="2" t="s">
        <v>69</v>
      </c>
      <c r="N98" s="2">
        <v>3</v>
      </c>
      <c r="O98" s="2" t="s">
        <v>27</v>
      </c>
      <c r="P98" s="25">
        <v>7.6</v>
      </c>
      <c r="Q98" t="str">
        <f t="shared" si="10"/>
        <v>0097</v>
      </c>
      <c r="R98" t="str">
        <f>IF('RETAIL SALES DATA.'!H98&gt;AVERAGE('RETAIL SALES DATA.'!H98:H1097),"HIGHEST VALUE","LOWEST VALUE")</f>
        <v>HIGHEST VALUE</v>
      </c>
      <c r="S98" t="str">
        <f t="shared" si="11"/>
        <v>Profit</v>
      </c>
      <c r="T98" t="str">
        <f t="shared" si="12"/>
        <v>Dean Herman</v>
      </c>
      <c r="U98" t="str">
        <f t="shared" si="13"/>
        <v>File</v>
      </c>
      <c r="V98">
        <f t="shared" si="14"/>
        <v>2024</v>
      </c>
      <c r="W98">
        <f t="shared" si="15"/>
        <v>12</v>
      </c>
      <c r="X98">
        <f t="shared" si="16"/>
        <v>25</v>
      </c>
      <c r="Y98" t="str">
        <f t="shared" si="17"/>
        <v>Nov</v>
      </c>
      <c r="Z98">
        <f t="shared" si="18"/>
        <v>10</v>
      </c>
    </row>
    <row r="99" spans="1:26" ht="15.75" customHeight="1" x14ac:dyDescent="0.3">
      <c r="A99" s="2" t="s">
        <v>321</v>
      </c>
      <c r="B99" s="2" t="s">
        <v>322</v>
      </c>
      <c r="C99" s="2" t="s">
        <v>62</v>
      </c>
      <c r="D99" s="2" t="s">
        <v>31</v>
      </c>
      <c r="E99" s="2" t="s">
        <v>32</v>
      </c>
      <c r="F99" s="2">
        <v>4</v>
      </c>
      <c r="G99" s="2">
        <v>2162.7199999999998</v>
      </c>
      <c r="H99" s="2">
        <v>8650.8799999999992</v>
      </c>
      <c r="I99" s="2">
        <v>6105.24</v>
      </c>
      <c r="J99" s="2">
        <v>2545.64</v>
      </c>
      <c r="K99" s="3">
        <v>45704</v>
      </c>
      <c r="L99" s="3">
        <v>45705</v>
      </c>
      <c r="M99" s="2" t="s">
        <v>33</v>
      </c>
      <c r="N99" s="2">
        <v>2</v>
      </c>
      <c r="O99" s="2" t="s">
        <v>54</v>
      </c>
      <c r="P99" s="25">
        <v>9.5</v>
      </c>
      <c r="Q99" t="str">
        <f t="shared" si="10"/>
        <v>0098</v>
      </c>
      <c r="R99" t="str">
        <f>IF('RETAIL SALES DATA.'!H99&gt;AVERAGE('RETAIL SALES DATA.'!H99:H1098),"HIGHEST VALUE","LOWEST VALUE")</f>
        <v>LOWEST VALUE</v>
      </c>
      <c r="S99" t="str">
        <f t="shared" si="11"/>
        <v>Profit</v>
      </c>
      <c r="T99" t="str">
        <f t="shared" si="12"/>
        <v>David Mendez</v>
      </c>
      <c r="U99" t="str">
        <f t="shared" si="13"/>
        <v>Table</v>
      </c>
      <c r="V99">
        <f t="shared" si="14"/>
        <v>2025</v>
      </c>
      <c r="W99">
        <f t="shared" si="15"/>
        <v>2</v>
      </c>
      <c r="X99">
        <f t="shared" si="16"/>
        <v>16</v>
      </c>
      <c r="Y99" t="str">
        <f t="shared" si="17"/>
        <v>Feb</v>
      </c>
      <c r="Z99">
        <f t="shared" si="18"/>
        <v>1</v>
      </c>
    </row>
    <row r="100" spans="1:26" ht="15.75" customHeight="1" x14ac:dyDescent="0.3">
      <c r="A100" s="2" t="s">
        <v>323</v>
      </c>
      <c r="B100" s="2" t="s">
        <v>324</v>
      </c>
      <c r="C100" s="2" t="s">
        <v>219</v>
      </c>
      <c r="D100" s="2" t="s">
        <v>43</v>
      </c>
      <c r="E100" s="2" t="s">
        <v>20</v>
      </c>
      <c r="F100" s="2">
        <v>6</v>
      </c>
      <c r="G100" s="2">
        <v>2371.96</v>
      </c>
      <c r="H100" s="2">
        <v>14231.76</v>
      </c>
      <c r="I100" s="2">
        <v>8186.05</v>
      </c>
      <c r="J100" s="2">
        <v>6045.71</v>
      </c>
      <c r="K100" s="3">
        <v>45842</v>
      </c>
      <c r="L100" s="3">
        <v>45848</v>
      </c>
      <c r="M100" s="2" t="s">
        <v>21</v>
      </c>
      <c r="N100" s="2">
        <v>5</v>
      </c>
      <c r="O100" s="2" t="s">
        <v>325</v>
      </c>
      <c r="P100" s="25">
        <v>8.8000000000000007</v>
      </c>
      <c r="Q100" t="str">
        <f t="shared" si="10"/>
        <v>0099</v>
      </c>
      <c r="R100" t="str">
        <f>IF('RETAIL SALES DATA.'!H100&gt;AVERAGE('RETAIL SALES DATA.'!H100:H1099),"HIGHEST VALUE","LOWEST VALUE")</f>
        <v>LOWEST VALUE</v>
      </c>
      <c r="S100" t="str">
        <f t="shared" si="11"/>
        <v>Profit</v>
      </c>
      <c r="T100" t="str">
        <f t="shared" si="12"/>
        <v>Joshua Carter</v>
      </c>
      <c r="U100" t="str">
        <f t="shared" si="13"/>
        <v>Smartphone</v>
      </c>
      <c r="V100">
        <f t="shared" si="14"/>
        <v>2025</v>
      </c>
      <c r="W100">
        <f t="shared" si="15"/>
        <v>7</v>
      </c>
      <c r="X100">
        <f t="shared" si="16"/>
        <v>4</v>
      </c>
      <c r="Y100" t="str">
        <f t="shared" si="17"/>
        <v>Jul</v>
      </c>
      <c r="Z100">
        <f t="shared" si="18"/>
        <v>6</v>
      </c>
    </row>
    <row r="101" spans="1:26" ht="15.75" customHeight="1" x14ac:dyDescent="0.3">
      <c r="A101" s="2" t="s">
        <v>326</v>
      </c>
      <c r="B101" s="2" t="s">
        <v>327</v>
      </c>
      <c r="C101" s="2" t="s">
        <v>42</v>
      </c>
      <c r="D101" s="2" t="s">
        <v>43</v>
      </c>
      <c r="E101" s="2" t="s">
        <v>32</v>
      </c>
      <c r="F101" s="2">
        <v>11</v>
      </c>
      <c r="G101" s="2">
        <v>2460.5300000000002</v>
      </c>
      <c r="H101" s="2">
        <v>27065.83</v>
      </c>
      <c r="I101" s="2">
        <v>17693.79</v>
      </c>
      <c r="J101" s="2">
        <v>9372.0400000000009</v>
      </c>
      <c r="K101" s="3">
        <v>45662</v>
      </c>
      <c r="L101" s="3">
        <v>45672</v>
      </c>
      <c r="M101" s="2" t="s">
        <v>26</v>
      </c>
      <c r="N101" s="2">
        <v>2</v>
      </c>
      <c r="O101" s="2" t="s">
        <v>96</v>
      </c>
      <c r="P101" s="25">
        <v>9.9</v>
      </c>
      <c r="Q101" t="str">
        <f t="shared" si="10"/>
        <v>0100</v>
      </c>
      <c r="R101" t="str">
        <f>IF('RETAIL SALES DATA.'!H101&gt;AVERAGE('RETAIL SALES DATA.'!H101:H1100),"HIGHEST VALUE","LOWEST VALUE")</f>
        <v>HIGHEST VALUE</v>
      </c>
      <c r="S101" t="str">
        <f t="shared" si="11"/>
        <v>Profit</v>
      </c>
      <c r="T101" t="str">
        <f t="shared" si="12"/>
        <v>Lauren Alvarez</v>
      </c>
      <c r="U101" t="str">
        <f t="shared" si="13"/>
        <v>Laptop</v>
      </c>
      <c r="V101">
        <f t="shared" si="14"/>
        <v>2025</v>
      </c>
      <c r="W101">
        <f t="shared" si="15"/>
        <v>1</v>
      </c>
      <c r="X101">
        <f t="shared" si="16"/>
        <v>5</v>
      </c>
      <c r="Y101" t="str">
        <f t="shared" si="17"/>
        <v>Jan</v>
      </c>
      <c r="Z101">
        <f t="shared" si="18"/>
        <v>10</v>
      </c>
    </row>
    <row r="102" spans="1:26" ht="15.75" customHeight="1" x14ac:dyDescent="0.3">
      <c r="A102" s="2" t="s">
        <v>328</v>
      </c>
      <c r="B102" s="2" t="s">
        <v>329</v>
      </c>
      <c r="C102" s="2" t="s">
        <v>139</v>
      </c>
      <c r="D102" s="2" t="s">
        <v>31</v>
      </c>
      <c r="E102" s="2" t="s">
        <v>20</v>
      </c>
      <c r="F102" s="2">
        <v>1</v>
      </c>
      <c r="G102" s="2">
        <v>3659.4</v>
      </c>
      <c r="H102" s="2">
        <v>3659.4</v>
      </c>
      <c r="I102" s="2">
        <v>2933.66</v>
      </c>
      <c r="J102" s="2">
        <v>725.74</v>
      </c>
      <c r="K102" s="3">
        <v>46016</v>
      </c>
      <c r="L102" s="3">
        <v>46020</v>
      </c>
      <c r="M102" s="2" t="s">
        <v>38</v>
      </c>
      <c r="N102" s="2">
        <v>3</v>
      </c>
      <c r="O102" s="2" t="s">
        <v>254</v>
      </c>
      <c r="P102" s="25">
        <v>8.3000000000000007</v>
      </c>
      <c r="Q102" t="str">
        <f t="shared" si="10"/>
        <v>0101</v>
      </c>
      <c r="R102" t="str">
        <f>IF('RETAIL SALES DATA.'!H102&gt;AVERAGE('RETAIL SALES DATA.'!H102:H1101),"HIGHEST VALUE","LOWEST VALUE")</f>
        <v>LOWEST VALUE</v>
      </c>
      <c r="S102" t="str">
        <f t="shared" si="11"/>
        <v>Profit</v>
      </c>
      <c r="T102" t="str">
        <f t="shared" si="12"/>
        <v>Mr. Roy Walton</v>
      </c>
      <c r="U102" t="str">
        <f t="shared" si="13"/>
        <v>Sofa</v>
      </c>
      <c r="V102">
        <f t="shared" si="14"/>
        <v>2025</v>
      </c>
      <c r="W102">
        <f t="shared" si="15"/>
        <v>12</v>
      </c>
      <c r="X102">
        <f t="shared" si="16"/>
        <v>25</v>
      </c>
      <c r="Y102" t="str">
        <f t="shared" si="17"/>
        <v>Dec</v>
      </c>
      <c r="Z102">
        <f t="shared" si="18"/>
        <v>4</v>
      </c>
    </row>
    <row r="103" spans="1:26" ht="15.75" customHeight="1" x14ac:dyDescent="0.3">
      <c r="A103" s="2" t="s">
        <v>330</v>
      </c>
      <c r="B103" s="2" t="s">
        <v>331</v>
      </c>
      <c r="C103" s="2" t="s">
        <v>72</v>
      </c>
      <c r="D103" s="2" t="s">
        <v>31</v>
      </c>
      <c r="E103" s="2" t="s">
        <v>20</v>
      </c>
      <c r="F103" s="2">
        <v>8</v>
      </c>
      <c r="G103" s="2">
        <v>3311.54</v>
      </c>
      <c r="H103" s="2">
        <v>26492.32</v>
      </c>
      <c r="I103" s="2">
        <v>20087.060000000001</v>
      </c>
      <c r="J103" s="2">
        <v>6405.26</v>
      </c>
      <c r="K103" s="3">
        <v>46074</v>
      </c>
      <c r="L103" s="3">
        <v>46078</v>
      </c>
      <c r="M103" s="2" t="s">
        <v>38</v>
      </c>
      <c r="N103" s="2">
        <v>5</v>
      </c>
      <c r="O103" s="2" t="s">
        <v>332</v>
      </c>
      <c r="P103" s="25">
        <v>6.2</v>
      </c>
      <c r="Q103" t="str">
        <f t="shared" si="10"/>
        <v>0102</v>
      </c>
      <c r="R103" t="str">
        <f>IF('RETAIL SALES DATA.'!H103&gt;AVERAGE('RETAIL SALES DATA.'!H103:H1102),"HIGHEST VALUE","LOWEST VALUE")</f>
        <v>HIGHEST VALUE</v>
      </c>
      <c r="S103" t="str">
        <f t="shared" si="11"/>
        <v>Profit</v>
      </c>
      <c r="T103" t="str">
        <f t="shared" si="12"/>
        <v>Kaylee Cordova</v>
      </c>
      <c r="U103" t="str">
        <f t="shared" si="13"/>
        <v>Chair</v>
      </c>
      <c r="V103">
        <f t="shared" si="14"/>
        <v>2026</v>
      </c>
      <c r="W103">
        <f t="shared" si="15"/>
        <v>2</v>
      </c>
      <c r="X103">
        <f t="shared" si="16"/>
        <v>21</v>
      </c>
      <c r="Y103" t="str">
        <f t="shared" si="17"/>
        <v>Feb</v>
      </c>
      <c r="Z103">
        <f t="shared" si="18"/>
        <v>4</v>
      </c>
    </row>
    <row r="104" spans="1:26" ht="15.75" customHeight="1" x14ac:dyDescent="0.3">
      <c r="A104" s="2" t="s">
        <v>333</v>
      </c>
      <c r="B104" s="2" t="s">
        <v>334</v>
      </c>
      <c r="C104" s="2" t="s">
        <v>72</v>
      </c>
      <c r="D104" s="2" t="s">
        <v>31</v>
      </c>
      <c r="E104" s="2" t="s">
        <v>32</v>
      </c>
      <c r="F104" s="2">
        <v>10</v>
      </c>
      <c r="G104" s="2">
        <v>4008.72</v>
      </c>
      <c r="H104" s="2">
        <v>40087.199999999997</v>
      </c>
      <c r="I104" s="2">
        <v>20958.46</v>
      </c>
      <c r="J104" s="2">
        <v>19128.740000000002</v>
      </c>
      <c r="K104" s="3">
        <v>46009</v>
      </c>
      <c r="L104" s="3">
        <v>46010</v>
      </c>
      <c r="M104" s="2" t="s">
        <v>181</v>
      </c>
      <c r="N104" s="2">
        <v>4</v>
      </c>
      <c r="O104" s="2" t="s">
        <v>335</v>
      </c>
      <c r="P104" s="25">
        <v>6.2</v>
      </c>
      <c r="Q104" t="str">
        <f t="shared" si="10"/>
        <v>0103</v>
      </c>
      <c r="R104" t="str">
        <f>IF('RETAIL SALES DATA.'!H104&gt;AVERAGE('RETAIL SALES DATA.'!H104:H1103),"HIGHEST VALUE","LOWEST VALUE")</f>
        <v>HIGHEST VALUE</v>
      </c>
      <c r="S104" t="str">
        <f t="shared" si="11"/>
        <v>Profit</v>
      </c>
      <c r="T104" t="str">
        <f t="shared" si="12"/>
        <v>Tyler Conner</v>
      </c>
      <c r="U104" t="str">
        <f t="shared" si="13"/>
        <v>Chair</v>
      </c>
      <c r="V104">
        <f t="shared" si="14"/>
        <v>2025</v>
      </c>
      <c r="W104">
        <f t="shared" si="15"/>
        <v>12</v>
      </c>
      <c r="X104">
        <f t="shared" si="16"/>
        <v>18</v>
      </c>
      <c r="Y104" t="str">
        <f t="shared" si="17"/>
        <v>Dec</v>
      </c>
      <c r="Z104">
        <f t="shared" si="18"/>
        <v>1</v>
      </c>
    </row>
    <row r="105" spans="1:26" ht="15.75" customHeight="1" x14ac:dyDescent="0.3">
      <c r="A105" s="2" t="s">
        <v>336</v>
      </c>
      <c r="B105" s="2" t="s">
        <v>337</v>
      </c>
      <c r="C105" s="2" t="s">
        <v>95</v>
      </c>
      <c r="D105" s="2" t="s">
        <v>19</v>
      </c>
      <c r="E105" s="2" t="s">
        <v>25</v>
      </c>
      <c r="F105" s="2">
        <v>1</v>
      </c>
      <c r="G105" s="2">
        <v>103.5</v>
      </c>
      <c r="H105" s="2">
        <v>103.5</v>
      </c>
      <c r="I105" s="2">
        <v>93.02</v>
      </c>
      <c r="J105" s="2">
        <v>10.48</v>
      </c>
      <c r="K105" s="3">
        <v>46003</v>
      </c>
      <c r="L105" s="3">
        <v>46009</v>
      </c>
      <c r="M105" s="2" t="s">
        <v>33</v>
      </c>
      <c r="N105" s="2">
        <v>1</v>
      </c>
      <c r="O105" s="2" t="s">
        <v>108</v>
      </c>
      <c r="P105" s="25">
        <v>8.8000000000000007</v>
      </c>
      <c r="Q105" t="str">
        <f t="shared" si="10"/>
        <v>0104</v>
      </c>
      <c r="R105" t="str">
        <f>IF('RETAIL SALES DATA.'!H105&gt;AVERAGE('RETAIL SALES DATA.'!H105:H1104),"HIGHEST VALUE","LOWEST VALUE")</f>
        <v>LOWEST VALUE</v>
      </c>
      <c r="S105" t="str">
        <f t="shared" si="11"/>
        <v>Profit</v>
      </c>
      <c r="T105" t="str">
        <f t="shared" si="12"/>
        <v>Douglas Johnson</v>
      </c>
      <c r="U105" t="str">
        <f t="shared" si="13"/>
        <v>Printer</v>
      </c>
      <c r="V105">
        <f t="shared" si="14"/>
        <v>2025</v>
      </c>
      <c r="W105">
        <f t="shared" si="15"/>
        <v>12</v>
      </c>
      <c r="X105">
        <f t="shared" si="16"/>
        <v>12</v>
      </c>
      <c r="Y105" t="str">
        <f t="shared" si="17"/>
        <v>Dec</v>
      </c>
      <c r="Z105">
        <f t="shared" si="18"/>
        <v>6</v>
      </c>
    </row>
    <row r="106" spans="1:26" ht="15.75" customHeight="1" x14ac:dyDescent="0.3">
      <c r="A106" s="2" t="s">
        <v>338</v>
      </c>
      <c r="B106" s="2" t="s">
        <v>339</v>
      </c>
      <c r="C106" s="2" t="s">
        <v>57</v>
      </c>
      <c r="D106" s="2" t="s">
        <v>19</v>
      </c>
      <c r="E106" s="2" t="s">
        <v>25</v>
      </c>
      <c r="F106" s="2">
        <v>6</v>
      </c>
      <c r="G106" s="2">
        <v>3585.98</v>
      </c>
      <c r="H106" s="2">
        <v>21515.88</v>
      </c>
      <c r="I106" s="2">
        <v>18949.61</v>
      </c>
      <c r="J106" s="2">
        <v>2566.27</v>
      </c>
      <c r="K106" s="3">
        <v>45508</v>
      </c>
      <c r="L106" s="3">
        <v>45510</v>
      </c>
      <c r="M106" s="2" t="s">
        <v>69</v>
      </c>
      <c r="N106" s="2">
        <v>2</v>
      </c>
      <c r="O106" s="2" t="s">
        <v>340</v>
      </c>
      <c r="P106" s="25">
        <v>9.4</v>
      </c>
      <c r="Q106" t="str">
        <f t="shared" si="10"/>
        <v>0105</v>
      </c>
      <c r="R106" t="str">
        <f>IF('RETAIL SALES DATA.'!H106&gt;AVERAGE('RETAIL SALES DATA.'!H106:H1105),"HIGHEST VALUE","LOWEST VALUE")</f>
        <v>LOWEST VALUE</v>
      </c>
      <c r="S106" t="str">
        <f t="shared" si="11"/>
        <v>Profit</v>
      </c>
      <c r="T106" t="str">
        <f t="shared" si="12"/>
        <v>Todd Brock</v>
      </c>
      <c r="U106" t="str">
        <f t="shared" si="13"/>
        <v>Notebook</v>
      </c>
      <c r="V106">
        <f t="shared" si="14"/>
        <v>2024</v>
      </c>
      <c r="W106">
        <f t="shared" si="15"/>
        <v>8</v>
      </c>
      <c r="X106">
        <f t="shared" si="16"/>
        <v>4</v>
      </c>
      <c r="Y106" t="str">
        <f t="shared" si="17"/>
        <v>Aug</v>
      </c>
      <c r="Z106">
        <f t="shared" si="18"/>
        <v>2</v>
      </c>
    </row>
    <row r="107" spans="1:26" ht="15.75" customHeight="1" x14ac:dyDescent="0.3">
      <c r="A107" s="2" t="s">
        <v>341</v>
      </c>
      <c r="B107" s="2" t="s">
        <v>342</v>
      </c>
      <c r="C107" s="2" t="s">
        <v>88</v>
      </c>
      <c r="D107" s="2" t="s">
        <v>31</v>
      </c>
      <c r="E107" s="2" t="s">
        <v>25</v>
      </c>
      <c r="F107" s="2">
        <v>4</v>
      </c>
      <c r="G107" s="2">
        <v>94</v>
      </c>
      <c r="H107" s="2">
        <v>376</v>
      </c>
      <c r="I107" s="2">
        <v>242.64</v>
      </c>
      <c r="J107" s="2">
        <v>133.36000000000001</v>
      </c>
      <c r="K107" s="3">
        <v>45541</v>
      </c>
      <c r="L107" s="3">
        <v>45544</v>
      </c>
      <c r="M107" s="2" t="s">
        <v>38</v>
      </c>
      <c r="N107" s="2">
        <v>5</v>
      </c>
      <c r="O107" s="2" t="s">
        <v>343</v>
      </c>
      <c r="P107" s="25">
        <v>6.9</v>
      </c>
      <c r="Q107" t="str">
        <f t="shared" si="10"/>
        <v>0106</v>
      </c>
      <c r="R107" t="str">
        <f>IF('RETAIL SALES DATA.'!H107&gt;AVERAGE('RETAIL SALES DATA.'!H107:H1106),"HIGHEST VALUE","LOWEST VALUE")</f>
        <v>LOWEST VALUE</v>
      </c>
      <c r="S107" t="str">
        <f t="shared" si="11"/>
        <v>Profit</v>
      </c>
      <c r="T107" t="str">
        <f t="shared" si="12"/>
        <v>Derek Bennett</v>
      </c>
      <c r="U107" t="str">
        <f t="shared" si="13"/>
        <v>Cupboard</v>
      </c>
      <c r="V107">
        <f t="shared" si="14"/>
        <v>2024</v>
      </c>
      <c r="W107">
        <f t="shared" si="15"/>
        <v>9</v>
      </c>
      <c r="X107">
        <f t="shared" si="16"/>
        <v>6</v>
      </c>
      <c r="Y107" t="str">
        <f t="shared" si="17"/>
        <v>Sep</v>
      </c>
      <c r="Z107">
        <f t="shared" si="18"/>
        <v>3</v>
      </c>
    </row>
    <row r="108" spans="1:26" ht="15.75" customHeight="1" x14ac:dyDescent="0.3">
      <c r="A108" s="2" t="s">
        <v>344</v>
      </c>
      <c r="B108" s="2" t="s">
        <v>345</v>
      </c>
      <c r="C108" s="2" t="s">
        <v>42</v>
      </c>
      <c r="D108" s="2" t="s">
        <v>43</v>
      </c>
      <c r="E108" s="2" t="s">
        <v>44</v>
      </c>
      <c r="F108" s="2">
        <v>4</v>
      </c>
      <c r="G108" s="2">
        <v>1444.02</v>
      </c>
      <c r="H108" s="2">
        <v>5776.08</v>
      </c>
      <c r="I108" s="2">
        <v>3999.55</v>
      </c>
      <c r="J108" s="2">
        <v>1776.53</v>
      </c>
      <c r="K108" s="3">
        <v>45685</v>
      </c>
      <c r="L108" s="3">
        <v>45687</v>
      </c>
      <c r="M108" s="2" t="s">
        <v>26</v>
      </c>
      <c r="N108" s="2">
        <v>3</v>
      </c>
      <c r="O108" s="2" t="s">
        <v>223</v>
      </c>
      <c r="P108" s="25">
        <v>9.1</v>
      </c>
      <c r="Q108" t="str">
        <f t="shared" si="10"/>
        <v>0107</v>
      </c>
      <c r="R108" t="str">
        <f>IF('RETAIL SALES DATA.'!H108&gt;AVERAGE('RETAIL SALES DATA.'!H108:H1107),"HIGHEST VALUE","LOWEST VALUE")</f>
        <v>LOWEST VALUE</v>
      </c>
      <c r="S108" t="str">
        <f t="shared" si="11"/>
        <v>Profit</v>
      </c>
      <c r="T108" t="str">
        <f t="shared" si="12"/>
        <v>Rachel Maldonado</v>
      </c>
      <c r="U108" t="str">
        <f t="shared" si="13"/>
        <v>Laptop</v>
      </c>
      <c r="V108">
        <f t="shared" si="14"/>
        <v>2025</v>
      </c>
      <c r="W108">
        <f t="shared" si="15"/>
        <v>1</v>
      </c>
      <c r="X108">
        <f t="shared" si="16"/>
        <v>28</v>
      </c>
      <c r="Y108" t="str">
        <f t="shared" si="17"/>
        <v>Jan</v>
      </c>
      <c r="Z108">
        <f t="shared" si="18"/>
        <v>2</v>
      </c>
    </row>
    <row r="109" spans="1:26" ht="15.75" customHeight="1" x14ac:dyDescent="0.3">
      <c r="A109" s="2" t="s">
        <v>346</v>
      </c>
      <c r="B109" s="2" t="s">
        <v>347</v>
      </c>
      <c r="C109" s="2" t="s">
        <v>139</v>
      </c>
      <c r="D109" s="2" t="s">
        <v>31</v>
      </c>
      <c r="E109" s="2" t="s">
        <v>25</v>
      </c>
      <c r="F109" s="2">
        <v>3</v>
      </c>
      <c r="G109" s="2">
        <v>4381.29</v>
      </c>
      <c r="H109" s="2">
        <v>13143.87</v>
      </c>
      <c r="I109" s="2">
        <v>10723.04</v>
      </c>
      <c r="J109" s="2">
        <v>2420.83</v>
      </c>
      <c r="K109" s="3">
        <v>45882</v>
      </c>
      <c r="L109" s="3">
        <v>45891</v>
      </c>
      <c r="M109" s="2" t="s">
        <v>69</v>
      </c>
      <c r="N109" s="2">
        <v>4</v>
      </c>
      <c r="O109" s="2" t="s">
        <v>348</v>
      </c>
      <c r="P109" s="25">
        <v>7.2</v>
      </c>
      <c r="Q109" t="str">
        <f t="shared" si="10"/>
        <v>0108</v>
      </c>
      <c r="R109" t="str">
        <f>IF('RETAIL SALES DATA.'!H109&gt;AVERAGE('RETAIL SALES DATA.'!H109:H1108),"HIGHEST VALUE","LOWEST VALUE")</f>
        <v>LOWEST VALUE</v>
      </c>
      <c r="S109" t="str">
        <f t="shared" si="11"/>
        <v>Profit</v>
      </c>
      <c r="T109" t="str">
        <f t="shared" si="12"/>
        <v>Shelly Jones</v>
      </c>
      <c r="U109" t="str">
        <f t="shared" si="13"/>
        <v>Sofa</v>
      </c>
      <c r="V109">
        <f t="shared" si="14"/>
        <v>2025</v>
      </c>
      <c r="W109">
        <f t="shared" si="15"/>
        <v>8</v>
      </c>
      <c r="X109">
        <f t="shared" si="16"/>
        <v>13</v>
      </c>
      <c r="Y109" t="str">
        <f t="shared" si="17"/>
        <v>Aug</v>
      </c>
      <c r="Z109">
        <f t="shared" si="18"/>
        <v>9</v>
      </c>
    </row>
    <row r="110" spans="1:26" ht="15.75" customHeight="1" x14ac:dyDescent="0.3">
      <c r="A110" s="2" t="s">
        <v>349</v>
      </c>
      <c r="B110" s="2" t="s">
        <v>350</v>
      </c>
      <c r="C110" s="2" t="s">
        <v>219</v>
      </c>
      <c r="D110" s="2" t="s">
        <v>43</v>
      </c>
      <c r="E110" s="2" t="s">
        <v>44</v>
      </c>
      <c r="F110" s="2">
        <v>18</v>
      </c>
      <c r="G110" s="2">
        <v>1034.17</v>
      </c>
      <c r="H110" s="2">
        <v>18615.060000000001</v>
      </c>
      <c r="I110" s="2">
        <v>10318.59</v>
      </c>
      <c r="J110" s="2">
        <v>8296.4699999999993</v>
      </c>
      <c r="K110" s="3">
        <v>45628</v>
      </c>
      <c r="L110" s="3">
        <v>45636</v>
      </c>
      <c r="M110" s="2" t="s">
        <v>33</v>
      </c>
      <c r="N110" s="2">
        <v>1</v>
      </c>
      <c r="O110" s="2" t="s">
        <v>351</v>
      </c>
      <c r="P110" s="25">
        <v>8.6</v>
      </c>
      <c r="Q110" t="str">
        <f t="shared" si="10"/>
        <v>0109</v>
      </c>
      <c r="R110" t="str">
        <f>IF('RETAIL SALES DATA.'!H110&gt;AVERAGE('RETAIL SALES DATA.'!H110:H1109),"HIGHEST VALUE","LOWEST VALUE")</f>
        <v>LOWEST VALUE</v>
      </c>
      <c r="S110" t="str">
        <f t="shared" si="11"/>
        <v>Profit</v>
      </c>
      <c r="T110" t="str">
        <f t="shared" si="12"/>
        <v>Cindy Owens</v>
      </c>
      <c r="U110" t="str">
        <f t="shared" si="13"/>
        <v>Smartphone</v>
      </c>
      <c r="V110">
        <f t="shared" si="14"/>
        <v>2024</v>
      </c>
      <c r="W110">
        <f t="shared" si="15"/>
        <v>12</v>
      </c>
      <c r="X110">
        <f t="shared" si="16"/>
        <v>2</v>
      </c>
      <c r="Y110" t="str">
        <f t="shared" si="17"/>
        <v>Dec</v>
      </c>
      <c r="Z110">
        <f t="shared" si="18"/>
        <v>8</v>
      </c>
    </row>
    <row r="111" spans="1:26" ht="15.75" customHeight="1" x14ac:dyDescent="0.3">
      <c r="A111" s="2" t="s">
        <v>352</v>
      </c>
      <c r="B111" s="2" t="s">
        <v>353</v>
      </c>
      <c r="C111" s="2" t="s">
        <v>62</v>
      </c>
      <c r="D111" s="2" t="s">
        <v>31</v>
      </c>
      <c r="E111" s="2" t="s">
        <v>44</v>
      </c>
      <c r="F111" s="2">
        <v>12</v>
      </c>
      <c r="G111" s="2">
        <v>3201.32</v>
      </c>
      <c r="H111" s="2">
        <v>38415.839999999997</v>
      </c>
      <c r="I111" s="2">
        <v>25204.81</v>
      </c>
      <c r="J111" s="2">
        <v>13211.03</v>
      </c>
      <c r="K111" s="3">
        <v>45599</v>
      </c>
      <c r="L111" s="3">
        <v>45603</v>
      </c>
      <c r="M111" s="2" t="s">
        <v>58</v>
      </c>
      <c r="N111" s="2">
        <v>3</v>
      </c>
      <c r="O111" s="2" t="s">
        <v>354</v>
      </c>
      <c r="P111" s="25">
        <v>8.1999999999999993</v>
      </c>
      <c r="Q111" t="str">
        <f t="shared" si="10"/>
        <v>0110</v>
      </c>
      <c r="R111" t="str">
        <f>IF('RETAIL SALES DATA.'!H111&gt;AVERAGE('RETAIL SALES DATA.'!H111:H1110),"HIGHEST VALUE","LOWEST VALUE")</f>
        <v>HIGHEST VALUE</v>
      </c>
      <c r="S111" t="str">
        <f t="shared" si="11"/>
        <v>Profit</v>
      </c>
      <c r="T111" t="str">
        <f t="shared" si="12"/>
        <v>Barbara Burgess</v>
      </c>
      <c r="U111" t="str">
        <f t="shared" si="13"/>
        <v>Table</v>
      </c>
      <c r="V111">
        <f t="shared" si="14"/>
        <v>2024</v>
      </c>
      <c r="W111">
        <f t="shared" si="15"/>
        <v>11</v>
      </c>
      <c r="X111">
        <f t="shared" si="16"/>
        <v>3</v>
      </c>
      <c r="Y111" t="str">
        <f t="shared" si="17"/>
        <v>Nov</v>
      </c>
      <c r="Z111">
        <f t="shared" si="18"/>
        <v>4</v>
      </c>
    </row>
    <row r="112" spans="1:26" ht="15.75" customHeight="1" x14ac:dyDescent="0.3">
      <c r="A112" s="2" t="s">
        <v>355</v>
      </c>
      <c r="B112" s="2" t="s">
        <v>356</v>
      </c>
      <c r="C112" s="2" t="s">
        <v>195</v>
      </c>
      <c r="D112" s="2" t="s">
        <v>43</v>
      </c>
      <c r="E112" s="2" t="s">
        <v>32</v>
      </c>
      <c r="F112" s="2">
        <v>1</v>
      </c>
      <c r="G112" s="2">
        <v>1809.51</v>
      </c>
      <c r="H112" s="2">
        <v>1809.51</v>
      </c>
      <c r="I112" s="2">
        <v>1035.46</v>
      </c>
      <c r="J112" s="2">
        <v>774.05</v>
      </c>
      <c r="K112" s="3">
        <v>45520</v>
      </c>
      <c r="L112" s="3">
        <v>45528</v>
      </c>
      <c r="M112" s="2" t="s">
        <v>45</v>
      </c>
      <c r="N112" s="2">
        <v>2</v>
      </c>
      <c r="O112" s="2" t="s">
        <v>294</v>
      </c>
      <c r="P112" s="25">
        <v>8.9</v>
      </c>
      <c r="Q112" t="str">
        <f t="shared" si="10"/>
        <v>0111</v>
      </c>
      <c r="R112" t="str">
        <f>IF('RETAIL SALES DATA.'!H112&gt;AVERAGE('RETAIL SALES DATA.'!H112:H1111),"HIGHEST VALUE","LOWEST VALUE")</f>
        <v>LOWEST VALUE</v>
      </c>
      <c r="S112" t="str">
        <f t="shared" si="11"/>
        <v>Profit</v>
      </c>
      <c r="T112" t="str">
        <f t="shared" si="12"/>
        <v>Kathleen Jones</v>
      </c>
      <c r="U112" t="str">
        <f t="shared" si="13"/>
        <v>Monitor</v>
      </c>
      <c r="V112">
        <f t="shared" si="14"/>
        <v>2024</v>
      </c>
      <c r="W112">
        <f t="shared" si="15"/>
        <v>8</v>
      </c>
      <c r="X112">
        <f t="shared" si="16"/>
        <v>16</v>
      </c>
      <c r="Y112" t="str">
        <f t="shared" si="17"/>
        <v>Aug</v>
      </c>
      <c r="Z112">
        <f t="shared" si="18"/>
        <v>8</v>
      </c>
    </row>
    <row r="113" spans="1:26" ht="15.75" customHeight="1" x14ac:dyDescent="0.3">
      <c r="A113" s="2" t="s">
        <v>357</v>
      </c>
      <c r="B113" s="2" t="s">
        <v>358</v>
      </c>
      <c r="C113" s="2" t="s">
        <v>30</v>
      </c>
      <c r="D113" s="2" t="s">
        <v>31</v>
      </c>
      <c r="E113" s="2" t="s">
        <v>32</v>
      </c>
      <c r="F113" s="2">
        <v>15</v>
      </c>
      <c r="G113" s="2">
        <v>455.36</v>
      </c>
      <c r="H113" s="2">
        <v>6830.4</v>
      </c>
      <c r="I113" s="2">
        <v>4095.65</v>
      </c>
      <c r="J113" s="2">
        <v>2734.75</v>
      </c>
      <c r="K113" s="3">
        <v>45571</v>
      </c>
      <c r="L113" s="3">
        <v>45579</v>
      </c>
      <c r="M113" s="2" t="s">
        <v>21</v>
      </c>
      <c r="N113" s="2">
        <v>3</v>
      </c>
      <c r="O113" s="2" t="s">
        <v>359</v>
      </c>
      <c r="P113" s="25">
        <v>9.1</v>
      </c>
      <c r="Q113" t="str">
        <f t="shared" si="10"/>
        <v>0112</v>
      </c>
      <c r="R113" t="str">
        <f>IF('RETAIL SALES DATA.'!H113&gt;AVERAGE('RETAIL SALES DATA.'!H113:H1112),"HIGHEST VALUE","LOWEST VALUE")</f>
        <v>LOWEST VALUE</v>
      </c>
      <c r="S113" t="str">
        <f t="shared" si="11"/>
        <v>Profit</v>
      </c>
      <c r="T113" t="str">
        <f t="shared" si="12"/>
        <v>Cole Li</v>
      </c>
      <c r="U113" t="str">
        <f t="shared" si="13"/>
        <v>Desk</v>
      </c>
      <c r="V113">
        <f t="shared" si="14"/>
        <v>2024</v>
      </c>
      <c r="W113">
        <f t="shared" si="15"/>
        <v>10</v>
      </c>
      <c r="X113">
        <f t="shared" si="16"/>
        <v>6</v>
      </c>
      <c r="Y113" t="str">
        <f t="shared" si="17"/>
        <v>Oct</v>
      </c>
      <c r="Z113">
        <f t="shared" si="18"/>
        <v>8</v>
      </c>
    </row>
    <row r="114" spans="1:26" ht="15.75" customHeight="1" x14ac:dyDescent="0.3">
      <c r="A114" s="2" t="s">
        <v>360</v>
      </c>
      <c r="B114" s="2" t="s">
        <v>361</v>
      </c>
      <c r="C114" s="2" t="s">
        <v>57</v>
      </c>
      <c r="D114" s="2" t="s">
        <v>19</v>
      </c>
      <c r="E114" s="2" t="s">
        <v>20</v>
      </c>
      <c r="F114" s="2">
        <v>16</v>
      </c>
      <c r="G114" s="2">
        <v>3481.54</v>
      </c>
      <c r="H114" s="2">
        <v>55704.639999999999</v>
      </c>
      <c r="I114" s="2">
        <v>35538.49</v>
      </c>
      <c r="J114" s="2">
        <v>20166.150000000001</v>
      </c>
      <c r="K114" s="3">
        <v>45461</v>
      </c>
      <c r="L114" s="3">
        <v>45463</v>
      </c>
      <c r="M114" s="2" t="s">
        <v>26</v>
      </c>
      <c r="N114" s="2">
        <v>1</v>
      </c>
      <c r="O114" s="2" t="s">
        <v>362</v>
      </c>
      <c r="P114" s="25">
        <v>6.9</v>
      </c>
      <c r="Q114" t="str">
        <f t="shared" si="10"/>
        <v>0113</v>
      </c>
      <c r="R114" t="str">
        <f>IF('RETAIL SALES DATA.'!H114&gt;AVERAGE('RETAIL SALES DATA.'!H114:H1113),"HIGHEST VALUE","LOWEST VALUE")</f>
        <v>HIGHEST VALUE</v>
      </c>
      <c r="S114" t="str">
        <f t="shared" si="11"/>
        <v>Profit</v>
      </c>
      <c r="T114" t="str">
        <f t="shared" si="12"/>
        <v>Erika Rodriguez</v>
      </c>
      <c r="U114" t="str">
        <f t="shared" si="13"/>
        <v>Notebook</v>
      </c>
      <c r="V114">
        <f t="shared" si="14"/>
        <v>2024</v>
      </c>
      <c r="W114">
        <f t="shared" si="15"/>
        <v>6</v>
      </c>
      <c r="X114">
        <f t="shared" si="16"/>
        <v>18</v>
      </c>
      <c r="Y114" t="str">
        <f t="shared" si="17"/>
        <v>Jun</v>
      </c>
      <c r="Z114">
        <f t="shared" si="18"/>
        <v>2</v>
      </c>
    </row>
    <row r="115" spans="1:26" ht="15.75" customHeight="1" x14ac:dyDescent="0.3">
      <c r="A115" s="2" t="s">
        <v>363</v>
      </c>
      <c r="B115" s="2" t="s">
        <v>364</v>
      </c>
      <c r="C115" s="2" t="s">
        <v>139</v>
      </c>
      <c r="D115" s="2" t="s">
        <v>31</v>
      </c>
      <c r="E115" s="2" t="s">
        <v>20</v>
      </c>
      <c r="F115" s="2">
        <v>1</v>
      </c>
      <c r="G115" s="2">
        <v>4329.59</v>
      </c>
      <c r="H115" s="2">
        <v>4329.59</v>
      </c>
      <c r="I115" s="2">
        <v>3575.93</v>
      </c>
      <c r="J115" s="2">
        <v>753.66</v>
      </c>
      <c r="K115" s="3">
        <v>45577</v>
      </c>
      <c r="L115" s="3">
        <v>45584</v>
      </c>
      <c r="M115" s="2" t="s">
        <v>38</v>
      </c>
      <c r="N115" s="2">
        <v>2</v>
      </c>
      <c r="O115" s="2" t="s">
        <v>187</v>
      </c>
      <c r="P115" s="25">
        <v>7.3</v>
      </c>
      <c r="Q115" t="str">
        <f t="shared" si="10"/>
        <v>0114</v>
      </c>
      <c r="R115" t="str">
        <f>IF('RETAIL SALES DATA.'!H115&gt;AVERAGE('RETAIL SALES DATA.'!H115:H1114),"HIGHEST VALUE","LOWEST VALUE")</f>
        <v>LOWEST VALUE</v>
      </c>
      <c r="S115" t="str">
        <f t="shared" si="11"/>
        <v>Profit</v>
      </c>
      <c r="T115" t="str">
        <f t="shared" si="12"/>
        <v>Brooke Wright</v>
      </c>
      <c r="U115" t="str">
        <f t="shared" si="13"/>
        <v>Sofa</v>
      </c>
      <c r="V115">
        <f t="shared" si="14"/>
        <v>2024</v>
      </c>
      <c r="W115">
        <f t="shared" si="15"/>
        <v>10</v>
      </c>
      <c r="X115">
        <f t="shared" si="16"/>
        <v>12</v>
      </c>
      <c r="Y115" t="str">
        <f t="shared" si="17"/>
        <v>Oct</v>
      </c>
      <c r="Z115">
        <f t="shared" si="18"/>
        <v>7</v>
      </c>
    </row>
    <row r="116" spans="1:26" ht="15.75" customHeight="1" x14ac:dyDescent="0.3">
      <c r="A116" s="2" t="s">
        <v>365</v>
      </c>
      <c r="B116" s="2" t="s">
        <v>366</v>
      </c>
      <c r="C116" s="2" t="s">
        <v>88</v>
      </c>
      <c r="D116" s="2" t="s">
        <v>31</v>
      </c>
      <c r="E116" s="2" t="s">
        <v>32</v>
      </c>
      <c r="F116" s="2">
        <v>8</v>
      </c>
      <c r="G116" s="2">
        <v>4966.3999999999996</v>
      </c>
      <c r="H116" s="2">
        <v>39731.199999999997</v>
      </c>
      <c r="I116" s="2">
        <v>22242.880000000001</v>
      </c>
      <c r="J116" s="2">
        <v>17488.32</v>
      </c>
      <c r="K116" s="3">
        <v>45972</v>
      </c>
      <c r="L116" s="3">
        <v>45974</v>
      </c>
      <c r="M116" s="2" t="s">
        <v>33</v>
      </c>
      <c r="N116" s="2">
        <v>3</v>
      </c>
      <c r="O116" s="2" t="s">
        <v>367</v>
      </c>
      <c r="P116" s="25">
        <v>6.2</v>
      </c>
      <c r="Q116" t="str">
        <f t="shared" si="10"/>
        <v>0115</v>
      </c>
      <c r="R116" t="str">
        <f>IF('RETAIL SALES DATA.'!H116&gt;AVERAGE('RETAIL SALES DATA.'!H116:H1115),"HIGHEST VALUE","LOWEST VALUE")</f>
        <v>HIGHEST VALUE</v>
      </c>
      <c r="S116" t="str">
        <f t="shared" si="11"/>
        <v>Profit</v>
      </c>
      <c r="T116" t="str">
        <f t="shared" si="12"/>
        <v>James Lam</v>
      </c>
      <c r="U116" t="str">
        <f t="shared" si="13"/>
        <v>Cupboard</v>
      </c>
      <c r="V116">
        <f t="shared" si="14"/>
        <v>2025</v>
      </c>
      <c r="W116">
        <f t="shared" si="15"/>
        <v>11</v>
      </c>
      <c r="X116">
        <f t="shared" si="16"/>
        <v>11</v>
      </c>
      <c r="Y116" t="str">
        <f t="shared" si="17"/>
        <v>Nov</v>
      </c>
      <c r="Z116">
        <f t="shared" si="18"/>
        <v>2</v>
      </c>
    </row>
    <row r="117" spans="1:26" ht="15.75" customHeight="1" x14ac:dyDescent="0.3">
      <c r="A117" s="2" t="s">
        <v>368</v>
      </c>
      <c r="B117" s="2" t="s">
        <v>369</v>
      </c>
      <c r="C117" s="2" t="s">
        <v>57</v>
      </c>
      <c r="D117" s="2" t="s">
        <v>19</v>
      </c>
      <c r="E117" s="2" t="s">
        <v>32</v>
      </c>
      <c r="F117" s="2">
        <v>13</v>
      </c>
      <c r="G117" s="2">
        <v>1767.37</v>
      </c>
      <c r="H117" s="2">
        <v>22975.81</v>
      </c>
      <c r="I117" s="2">
        <v>12245.7</v>
      </c>
      <c r="J117" s="2">
        <v>10730.11</v>
      </c>
      <c r="K117" s="3">
        <v>45999</v>
      </c>
      <c r="L117" s="3">
        <v>46002</v>
      </c>
      <c r="M117" s="2" t="s">
        <v>33</v>
      </c>
      <c r="N117" s="2">
        <v>2</v>
      </c>
      <c r="O117" s="2" t="s">
        <v>370</v>
      </c>
      <c r="P117" s="25">
        <v>6</v>
      </c>
      <c r="Q117" t="str">
        <f t="shared" si="10"/>
        <v>0116</v>
      </c>
      <c r="R117" t="str">
        <f>IF('RETAIL SALES DATA.'!H117&gt;AVERAGE('RETAIL SALES DATA.'!H117:H1116),"HIGHEST VALUE","LOWEST VALUE")</f>
        <v>LOWEST VALUE</v>
      </c>
      <c r="S117" t="str">
        <f t="shared" si="11"/>
        <v>Profit</v>
      </c>
      <c r="T117" t="str">
        <f t="shared" si="12"/>
        <v>Blake Hicks</v>
      </c>
      <c r="U117" t="str">
        <f t="shared" si="13"/>
        <v>Notebook</v>
      </c>
      <c r="V117">
        <f t="shared" si="14"/>
        <v>2025</v>
      </c>
      <c r="W117">
        <f t="shared" si="15"/>
        <v>12</v>
      </c>
      <c r="X117">
        <f t="shared" si="16"/>
        <v>8</v>
      </c>
      <c r="Y117" t="str">
        <f t="shared" si="17"/>
        <v>Dec</v>
      </c>
      <c r="Z117">
        <f t="shared" si="18"/>
        <v>3</v>
      </c>
    </row>
    <row r="118" spans="1:26" ht="15.75" customHeight="1" x14ac:dyDescent="0.3">
      <c r="A118" s="2" t="s">
        <v>371</v>
      </c>
      <c r="B118" s="2" t="s">
        <v>372</v>
      </c>
      <c r="C118" s="2" t="s">
        <v>57</v>
      </c>
      <c r="D118" s="2" t="s">
        <v>19</v>
      </c>
      <c r="E118" s="2" t="s">
        <v>25</v>
      </c>
      <c r="F118" s="2">
        <v>9</v>
      </c>
      <c r="G118" s="2">
        <v>779.28</v>
      </c>
      <c r="H118" s="2">
        <v>7013.52</v>
      </c>
      <c r="I118" s="2">
        <v>4936.46</v>
      </c>
      <c r="J118" s="2">
        <v>2077.06</v>
      </c>
      <c r="K118" s="3">
        <v>46009</v>
      </c>
      <c r="L118" s="3">
        <v>46014</v>
      </c>
      <c r="M118" s="2" t="s">
        <v>50</v>
      </c>
      <c r="N118" s="2">
        <v>3</v>
      </c>
      <c r="O118" s="2" t="s">
        <v>130</v>
      </c>
      <c r="P118" s="25">
        <v>7.1</v>
      </c>
      <c r="Q118" t="str">
        <f t="shared" si="10"/>
        <v>0117</v>
      </c>
      <c r="R118" t="str">
        <f>IF('RETAIL SALES DATA.'!H118&gt;AVERAGE('RETAIL SALES DATA.'!H118:H1117),"HIGHEST VALUE","LOWEST VALUE")</f>
        <v>LOWEST VALUE</v>
      </c>
      <c r="S118" t="str">
        <f t="shared" si="11"/>
        <v>Profit</v>
      </c>
      <c r="T118" t="str">
        <f t="shared" si="12"/>
        <v>Elizabeth Garner</v>
      </c>
      <c r="U118" t="str">
        <f t="shared" si="13"/>
        <v>Notebook</v>
      </c>
      <c r="V118">
        <f t="shared" si="14"/>
        <v>2025</v>
      </c>
      <c r="W118">
        <f t="shared" si="15"/>
        <v>12</v>
      </c>
      <c r="X118">
        <f t="shared" si="16"/>
        <v>18</v>
      </c>
      <c r="Y118" t="str">
        <f t="shared" si="17"/>
        <v>Dec</v>
      </c>
      <c r="Z118">
        <f t="shared" si="18"/>
        <v>5</v>
      </c>
    </row>
    <row r="119" spans="1:26" ht="15.75" customHeight="1" x14ac:dyDescent="0.3">
      <c r="A119" s="2" t="s">
        <v>373</v>
      </c>
      <c r="B119" s="2" t="s">
        <v>374</v>
      </c>
      <c r="C119" s="2" t="s">
        <v>62</v>
      </c>
      <c r="D119" s="2" t="s">
        <v>31</v>
      </c>
      <c r="E119" s="2" t="s">
        <v>32</v>
      </c>
      <c r="F119" s="2">
        <v>10</v>
      </c>
      <c r="G119" s="2">
        <v>4845.24</v>
      </c>
      <c r="H119" s="2">
        <v>48452.4</v>
      </c>
      <c r="I119" s="2">
        <v>33126.730000000003</v>
      </c>
      <c r="J119" s="2">
        <v>15325.67</v>
      </c>
      <c r="K119" s="3">
        <v>45732</v>
      </c>
      <c r="L119" s="3">
        <v>45740</v>
      </c>
      <c r="M119" s="2" t="s">
        <v>45</v>
      </c>
      <c r="N119" s="2">
        <v>4</v>
      </c>
      <c r="O119" s="2" t="s">
        <v>375</v>
      </c>
      <c r="P119" s="25">
        <v>6.6</v>
      </c>
      <c r="Q119" t="str">
        <f t="shared" si="10"/>
        <v>0118</v>
      </c>
      <c r="R119" t="str">
        <f>IF('RETAIL SALES DATA.'!H119&gt;AVERAGE('RETAIL SALES DATA.'!H119:H1118),"HIGHEST VALUE","LOWEST VALUE")</f>
        <v>HIGHEST VALUE</v>
      </c>
      <c r="S119" t="str">
        <f t="shared" si="11"/>
        <v>Profit</v>
      </c>
      <c r="T119" t="str">
        <f t="shared" si="12"/>
        <v>Nicole Rodriguez</v>
      </c>
      <c r="U119" t="str">
        <f t="shared" si="13"/>
        <v>Table</v>
      </c>
      <c r="V119">
        <f t="shared" si="14"/>
        <v>2025</v>
      </c>
      <c r="W119">
        <f t="shared" si="15"/>
        <v>3</v>
      </c>
      <c r="X119">
        <f t="shared" si="16"/>
        <v>16</v>
      </c>
      <c r="Y119" t="str">
        <f t="shared" si="17"/>
        <v>Mar</v>
      </c>
      <c r="Z119">
        <f t="shared" si="18"/>
        <v>8</v>
      </c>
    </row>
    <row r="120" spans="1:26" ht="15.75" customHeight="1" x14ac:dyDescent="0.3">
      <c r="A120" s="2" t="s">
        <v>376</v>
      </c>
      <c r="B120" s="2" t="s">
        <v>377</v>
      </c>
      <c r="C120" s="2" t="s">
        <v>30</v>
      </c>
      <c r="D120" s="2" t="s">
        <v>31</v>
      </c>
      <c r="E120" s="2" t="s">
        <v>32</v>
      </c>
      <c r="F120" s="2">
        <v>11</v>
      </c>
      <c r="G120" s="2">
        <v>2219.4</v>
      </c>
      <c r="H120" s="2">
        <v>24413.4</v>
      </c>
      <c r="I120" s="2">
        <v>14362.38</v>
      </c>
      <c r="J120" s="2">
        <v>10051.02</v>
      </c>
      <c r="K120" s="3">
        <v>45611</v>
      </c>
      <c r="L120" s="3">
        <v>45613</v>
      </c>
      <c r="M120" s="2" t="s">
        <v>26</v>
      </c>
      <c r="N120" s="2">
        <v>2</v>
      </c>
      <c r="O120" s="2" t="s">
        <v>378</v>
      </c>
      <c r="P120" s="25">
        <v>7.2</v>
      </c>
      <c r="Q120" t="str">
        <f t="shared" si="10"/>
        <v>0119</v>
      </c>
      <c r="R120" t="str">
        <f>IF('RETAIL SALES DATA.'!H120&gt;AVERAGE('RETAIL SALES DATA.'!H120:H1119),"HIGHEST VALUE","LOWEST VALUE")</f>
        <v>LOWEST VALUE</v>
      </c>
      <c r="S120" t="str">
        <f t="shared" si="11"/>
        <v>Profit</v>
      </c>
      <c r="T120" t="str">
        <f t="shared" si="12"/>
        <v>Jennifer Henderson</v>
      </c>
      <c r="U120" t="str">
        <f t="shared" si="13"/>
        <v>Desk</v>
      </c>
      <c r="V120">
        <f t="shared" si="14"/>
        <v>2024</v>
      </c>
      <c r="W120">
        <f t="shared" si="15"/>
        <v>11</v>
      </c>
      <c r="X120">
        <f t="shared" si="16"/>
        <v>15</v>
      </c>
      <c r="Y120" t="str">
        <f t="shared" si="17"/>
        <v>Nov</v>
      </c>
      <c r="Z120">
        <f t="shared" si="18"/>
        <v>2</v>
      </c>
    </row>
    <row r="121" spans="1:26" ht="15.75" customHeight="1" x14ac:dyDescent="0.3">
      <c r="A121" s="2" t="s">
        <v>379</v>
      </c>
      <c r="B121" s="2" t="s">
        <v>380</v>
      </c>
      <c r="C121" s="2" t="s">
        <v>88</v>
      </c>
      <c r="D121" s="2" t="s">
        <v>31</v>
      </c>
      <c r="E121" s="2" t="s">
        <v>25</v>
      </c>
      <c r="F121" s="2">
        <v>1</v>
      </c>
      <c r="G121" s="2">
        <v>4102.47</v>
      </c>
      <c r="H121" s="2">
        <v>4102.47</v>
      </c>
      <c r="I121" s="2">
        <v>2591.46</v>
      </c>
      <c r="J121" s="2">
        <v>1511.01</v>
      </c>
      <c r="K121" s="3">
        <v>45447</v>
      </c>
      <c r="L121" s="3">
        <v>45450</v>
      </c>
      <c r="M121" s="2" t="s">
        <v>58</v>
      </c>
      <c r="N121" s="2">
        <v>4</v>
      </c>
      <c r="O121" s="2" t="s">
        <v>214</v>
      </c>
      <c r="P121" s="25">
        <v>8.5</v>
      </c>
      <c r="Q121" t="str">
        <f t="shared" si="10"/>
        <v>0120</v>
      </c>
      <c r="R121" t="str">
        <f>IF('RETAIL SALES DATA.'!H121&gt;AVERAGE('RETAIL SALES DATA.'!H121:H1120),"HIGHEST VALUE","LOWEST VALUE")</f>
        <v>LOWEST VALUE</v>
      </c>
      <c r="S121" t="str">
        <f t="shared" si="11"/>
        <v>Profit</v>
      </c>
      <c r="T121" t="str">
        <f t="shared" si="12"/>
        <v>Kevin Quinn</v>
      </c>
      <c r="U121" t="str">
        <f t="shared" si="13"/>
        <v>Cupboard</v>
      </c>
      <c r="V121">
        <f t="shared" si="14"/>
        <v>2024</v>
      </c>
      <c r="W121">
        <f t="shared" si="15"/>
        <v>6</v>
      </c>
      <c r="X121">
        <f t="shared" si="16"/>
        <v>4</v>
      </c>
      <c r="Y121" t="str">
        <f t="shared" si="17"/>
        <v>Jun</v>
      </c>
      <c r="Z121">
        <f t="shared" si="18"/>
        <v>3</v>
      </c>
    </row>
    <row r="122" spans="1:26" ht="15.75" customHeight="1" x14ac:dyDescent="0.3">
      <c r="A122" s="2" t="s">
        <v>381</v>
      </c>
      <c r="B122" s="2" t="s">
        <v>382</v>
      </c>
      <c r="C122" s="2" t="s">
        <v>18</v>
      </c>
      <c r="D122" s="2" t="s">
        <v>19</v>
      </c>
      <c r="E122" s="2" t="s">
        <v>32</v>
      </c>
      <c r="F122" s="2">
        <v>9</v>
      </c>
      <c r="G122" s="2">
        <v>1188.77</v>
      </c>
      <c r="H122" s="2">
        <v>10698.93</v>
      </c>
      <c r="I122" s="2">
        <v>5796.65</v>
      </c>
      <c r="J122" s="2">
        <v>4902.28</v>
      </c>
      <c r="K122" s="3">
        <v>45840</v>
      </c>
      <c r="L122" s="3">
        <v>45850</v>
      </c>
      <c r="M122" s="2" t="s">
        <v>26</v>
      </c>
      <c r="N122" s="2">
        <v>3</v>
      </c>
      <c r="O122" s="2" t="s">
        <v>383</v>
      </c>
      <c r="P122" s="25">
        <v>8.9</v>
      </c>
      <c r="Q122" t="str">
        <f t="shared" si="10"/>
        <v>0121</v>
      </c>
      <c r="R122" t="str">
        <f>IF('RETAIL SALES DATA.'!H122&gt;AVERAGE('RETAIL SALES DATA.'!H122:H1121),"HIGHEST VALUE","LOWEST VALUE")</f>
        <v>LOWEST VALUE</v>
      </c>
      <c r="S122" t="str">
        <f t="shared" si="11"/>
        <v>Profit</v>
      </c>
      <c r="T122" t="str">
        <f t="shared" si="12"/>
        <v>Robert Williams</v>
      </c>
      <c r="U122" t="str">
        <f t="shared" si="13"/>
        <v>Pen</v>
      </c>
      <c r="V122">
        <f t="shared" si="14"/>
        <v>2025</v>
      </c>
      <c r="W122">
        <f t="shared" si="15"/>
        <v>7</v>
      </c>
      <c r="X122">
        <f t="shared" si="16"/>
        <v>2</v>
      </c>
      <c r="Y122" t="str">
        <f t="shared" si="17"/>
        <v>Jul</v>
      </c>
      <c r="Z122">
        <f t="shared" si="18"/>
        <v>10</v>
      </c>
    </row>
    <row r="123" spans="1:26" ht="15.75" customHeight="1" x14ac:dyDescent="0.3">
      <c r="A123" s="2" t="s">
        <v>384</v>
      </c>
      <c r="B123" s="2" t="s">
        <v>385</v>
      </c>
      <c r="C123" s="2" t="s">
        <v>144</v>
      </c>
      <c r="D123" s="2" t="s">
        <v>19</v>
      </c>
      <c r="E123" s="2" t="s">
        <v>44</v>
      </c>
      <c r="F123" s="2">
        <v>10</v>
      </c>
      <c r="G123" s="2">
        <v>2934.11</v>
      </c>
      <c r="H123" s="2">
        <v>29341.1</v>
      </c>
      <c r="I123" s="2">
        <v>14732.07</v>
      </c>
      <c r="J123" s="2">
        <v>14609.03</v>
      </c>
      <c r="K123" s="3">
        <v>46059</v>
      </c>
      <c r="L123" s="3">
        <v>46067</v>
      </c>
      <c r="M123" s="2" t="s">
        <v>50</v>
      </c>
      <c r="N123" s="2">
        <v>3</v>
      </c>
      <c r="O123" s="2" t="s">
        <v>386</v>
      </c>
      <c r="P123" s="25">
        <v>6.4</v>
      </c>
      <c r="Q123" t="str">
        <f t="shared" si="10"/>
        <v>0122</v>
      </c>
      <c r="R123" t="str">
        <f>IF('RETAIL SALES DATA.'!H123&gt;AVERAGE('RETAIL SALES DATA.'!H123:H1122),"HIGHEST VALUE","LOWEST VALUE")</f>
        <v>HIGHEST VALUE</v>
      </c>
      <c r="S123" t="str">
        <f t="shared" si="11"/>
        <v>Profit</v>
      </c>
      <c r="T123" t="str">
        <f t="shared" si="12"/>
        <v>Lawrence Jackson</v>
      </c>
      <c r="U123" t="str">
        <f t="shared" si="13"/>
        <v>File</v>
      </c>
      <c r="V123">
        <f t="shared" si="14"/>
        <v>2026</v>
      </c>
      <c r="W123">
        <f t="shared" si="15"/>
        <v>2</v>
      </c>
      <c r="X123">
        <f t="shared" si="16"/>
        <v>6</v>
      </c>
      <c r="Y123" t="str">
        <f t="shared" si="17"/>
        <v>Feb</v>
      </c>
      <c r="Z123">
        <f t="shared" si="18"/>
        <v>8</v>
      </c>
    </row>
    <row r="124" spans="1:26" ht="15.75" customHeight="1" x14ac:dyDescent="0.3">
      <c r="A124" s="2" t="s">
        <v>387</v>
      </c>
      <c r="B124" s="2" t="s">
        <v>388</v>
      </c>
      <c r="C124" s="2" t="s">
        <v>144</v>
      </c>
      <c r="D124" s="2" t="s">
        <v>19</v>
      </c>
      <c r="E124" s="2" t="s">
        <v>44</v>
      </c>
      <c r="F124" s="2">
        <v>12</v>
      </c>
      <c r="G124" s="2">
        <v>4548.29</v>
      </c>
      <c r="H124" s="2">
        <v>54579.48</v>
      </c>
      <c r="I124" s="2">
        <v>27735.19</v>
      </c>
      <c r="J124" s="2">
        <v>26844.29</v>
      </c>
      <c r="K124" s="3">
        <v>45996</v>
      </c>
      <c r="L124" s="3">
        <v>46000</v>
      </c>
      <c r="M124" s="2" t="s">
        <v>123</v>
      </c>
      <c r="N124" s="2">
        <v>4</v>
      </c>
      <c r="O124" s="2" t="s">
        <v>211</v>
      </c>
      <c r="P124" s="25">
        <v>8.8000000000000007</v>
      </c>
      <c r="Q124" t="str">
        <f t="shared" si="10"/>
        <v>0123</v>
      </c>
      <c r="R124" t="str">
        <f>IF('RETAIL SALES DATA.'!H124&gt;AVERAGE('RETAIL SALES DATA.'!H124:H1123),"HIGHEST VALUE","LOWEST VALUE")</f>
        <v>HIGHEST VALUE</v>
      </c>
      <c r="S124" t="str">
        <f t="shared" si="11"/>
        <v>Profit</v>
      </c>
      <c r="T124" t="str">
        <f t="shared" si="12"/>
        <v>Linda Campbell</v>
      </c>
      <c r="U124" t="str">
        <f t="shared" si="13"/>
        <v>File</v>
      </c>
      <c r="V124">
        <f t="shared" si="14"/>
        <v>2025</v>
      </c>
      <c r="W124">
        <f t="shared" si="15"/>
        <v>12</v>
      </c>
      <c r="X124">
        <f t="shared" si="16"/>
        <v>5</v>
      </c>
      <c r="Y124" t="str">
        <f t="shared" si="17"/>
        <v>Dec</v>
      </c>
      <c r="Z124">
        <f t="shared" si="18"/>
        <v>4</v>
      </c>
    </row>
    <row r="125" spans="1:26" ht="15.75" customHeight="1" x14ac:dyDescent="0.3">
      <c r="A125" s="2" t="s">
        <v>389</v>
      </c>
      <c r="B125" s="2" t="s">
        <v>390</v>
      </c>
      <c r="C125" s="2" t="s">
        <v>49</v>
      </c>
      <c r="D125" s="2" t="s">
        <v>43</v>
      </c>
      <c r="E125" s="2" t="s">
        <v>25</v>
      </c>
      <c r="F125" s="2">
        <v>2</v>
      </c>
      <c r="G125" s="2">
        <v>1105.8</v>
      </c>
      <c r="H125" s="2">
        <v>2211.6</v>
      </c>
      <c r="I125" s="2">
        <v>1151.3399999999999</v>
      </c>
      <c r="J125" s="2">
        <v>1060.26</v>
      </c>
      <c r="K125" s="3">
        <v>45549</v>
      </c>
      <c r="L125" s="3">
        <v>45552</v>
      </c>
      <c r="M125" s="2" t="s">
        <v>33</v>
      </c>
      <c r="N125" s="2">
        <v>1</v>
      </c>
      <c r="O125" s="2" t="s">
        <v>391</v>
      </c>
      <c r="P125" s="25">
        <v>8.3000000000000007</v>
      </c>
      <c r="Q125" t="str">
        <f t="shared" si="10"/>
        <v>0124</v>
      </c>
      <c r="R125" t="str">
        <f>IF('RETAIL SALES DATA.'!H125&gt;AVERAGE('RETAIL SALES DATA.'!H125:H1124),"HIGHEST VALUE","LOWEST VALUE")</f>
        <v>LOWEST VALUE</v>
      </c>
      <c r="S125" t="str">
        <f t="shared" si="11"/>
        <v>Profit</v>
      </c>
      <c r="T125" t="str">
        <f t="shared" si="12"/>
        <v>Ashley Robinson</v>
      </c>
      <c r="U125" t="str">
        <f t="shared" si="13"/>
        <v>Mouse</v>
      </c>
      <c r="V125">
        <f t="shared" si="14"/>
        <v>2024</v>
      </c>
      <c r="W125">
        <f t="shared" si="15"/>
        <v>9</v>
      </c>
      <c r="X125">
        <f t="shared" si="16"/>
        <v>14</v>
      </c>
      <c r="Y125" t="str">
        <f t="shared" si="17"/>
        <v>Sep</v>
      </c>
      <c r="Z125">
        <f t="shared" si="18"/>
        <v>3</v>
      </c>
    </row>
    <row r="126" spans="1:26" ht="15.75" customHeight="1" x14ac:dyDescent="0.3">
      <c r="A126" s="2" t="s">
        <v>392</v>
      </c>
      <c r="B126" s="2" t="s">
        <v>393</v>
      </c>
      <c r="C126" s="2" t="s">
        <v>30</v>
      </c>
      <c r="D126" s="2" t="s">
        <v>31</v>
      </c>
      <c r="E126" s="2" t="s">
        <v>25</v>
      </c>
      <c r="F126" s="2">
        <v>9</v>
      </c>
      <c r="G126" s="2">
        <v>2943.76</v>
      </c>
      <c r="H126" s="2">
        <v>26493.84</v>
      </c>
      <c r="I126" s="2">
        <v>19519.740000000002</v>
      </c>
      <c r="J126" s="2">
        <v>6974.1</v>
      </c>
      <c r="K126" s="3">
        <v>45837</v>
      </c>
      <c r="L126" s="3">
        <v>45838</v>
      </c>
      <c r="M126" s="2" t="s">
        <v>26</v>
      </c>
      <c r="N126" s="2">
        <v>3</v>
      </c>
      <c r="O126" s="2" t="s">
        <v>394</v>
      </c>
      <c r="P126" s="25">
        <v>8.5</v>
      </c>
      <c r="Q126" t="str">
        <f t="shared" si="10"/>
        <v>0125</v>
      </c>
      <c r="R126" t="str">
        <f>IF('RETAIL SALES DATA.'!H126&gt;AVERAGE('RETAIL SALES DATA.'!H126:H1125),"HIGHEST VALUE","LOWEST VALUE")</f>
        <v>HIGHEST VALUE</v>
      </c>
      <c r="S126" t="str">
        <f t="shared" si="11"/>
        <v>Profit</v>
      </c>
      <c r="T126" t="str">
        <f t="shared" si="12"/>
        <v>Joyce Davis</v>
      </c>
      <c r="U126" t="str">
        <f t="shared" si="13"/>
        <v>Desk</v>
      </c>
      <c r="V126">
        <f t="shared" si="14"/>
        <v>2025</v>
      </c>
      <c r="W126">
        <f t="shared" si="15"/>
        <v>6</v>
      </c>
      <c r="X126">
        <f t="shared" si="16"/>
        <v>29</v>
      </c>
      <c r="Y126" t="str">
        <f t="shared" si="17"/>
        <v>Jun</v>
      </c>
      <c r="Z126">
        <f t="shared" si="18"/>
        <v>1</v>
      </c>
    </row>
    <row r="127" spans="1:26" ht="15.75" customHeight="1" x14ac:dyDescent="0.3">
      <c r="A127" s="2" t="s">
        <v>395</v>
      </c>
      <c r="B127" s="2" t="s">
        <v>396</v>
      </c>
      <c r="C127" s="2" t="s">
        <v>88</v>
      </c>
      <c r="D127" s="2" t="s">
        <v>31</v>
      </c>
      <c r="E127" s="2" t="s">
        <v>25</v>
      </c>
      <c r="F127" s="2">
        <v>18</v>
      </c>
      <c r="G127" s="2">
        <v>4636.29</v>
      </c>
      <c r="H127" s="2">
        <v>83453.22</v>
      </c>
      <c r="I127" s="2">
        <v>56971.59</v>
      </c>
      <c r="J127" s="2">
        <v>26481.63</v>
      </c>
      <c r="K127" s="3">
        <v>45968</v>
      </c>
      <c r="L127" s="3">
        <v>45972</v>
      </c>
      <c r="M127" s="2" t="s">
        <v>45</v>
      </c>
      <c r="N127" s="2">
        <v>2</v>
      </c>
      <c r="O127" s="2" t="s">
        <v>240</v>
      </c>
      <c r="P127" s="25">
        <v>9.6999999999999993</v>
      </c>
      <c r="Q127" t="str">
        <f t="shared" si="10"/>
        <v>0126</v>
      </c>
      <c r="R127" t="str">
        <f>IF('RETAIL SALES DATA.'!H127&gt;AVERAGE('RETAIL SALES DATA.'!H127:H1126),"HIGHEST VALUE","LOWEST VALUE")</f>
        <v>HIGHEST VALUE</v>
      </c>
      <c r="S127" t="str">
        <f t="shared" si="11"/>
        <v>Profit</v>
      </c>
      <c r="T127" t="str">
        <f t="shared" si="12"/>
        <v>Richard Brown</v>
      </c>
      <c r="U127" t="str">
        <f t="shared" si="13"/>
        <v>Cupboard</v>
      </c>
      <c r="V127">
        <f t="shared" si="14"/>
        <v>2025</v>
      </c>
      <c r="W127">
        <f t="shared" si="15"/>
        <v>11</v>
      </c>
      <c r="X127">
        <f t="shared" si="16"/>
        <v>7</v>
      </c>
      <c r="Y127" t="str">
        <f t="shared" si="17"/>
        <v>Nov</v>
      </c>
      <c r="Z127">
        <f t="shared" si="18"/>
        <v>4</v>
      </c>
    </row>
    <row r="128" spans="1:26" ht="15.75" customHeight="1" x14ac:dyDescent="0.3">
      <c r="A128" s="2" t="s">
        <v>397</v>
      </c>
      <c r="B128" s="2" t="s">
        <v>398</v>
      </c>
      <c r="C128" s="2" t="s">
        <v>168</v>
      </c>
      <c r="D128" s="2" t="s">
        <v>43</v>
      </c>
      <c r="E128" s="2" t="s">
        <v>20</v>
      </c>
      <c r="F128" s="2">
        <v>12</v>
      </c>
      <c r="G128" s="2">
        <v>3206.43</v>
      </c>
      <c r="H128" s="2">
        <v>38477.160000000003</v>
      </c>
      <c r="I128" s="2">
        <v>26993.03</v>
      </c>
      <c r="J128" s="2">
        <v>11484.13</v>
      </c>
      <c r="K128" s="3">
        <v>46052</v>
      </c>
      <c r="L128" s="3">
        <v>46057</v>
      </c>
      <c r="M128" s="2" t="s">
        <v>123</v>
      </c>
      <c r="N128" s="2">
        <v>4</v>
      </c>
      <c r="O128" s="2" t="s">
        <v>399</v>
      </c>
      <c r="P128" s="25">
        <v>8.1999999999999993</v>
      </c>
      <c r="Q128" t="str">
        <f t="shared" si="10"/>
        <v>0127</v>
      </c>
      <c r="R128" t="str">
        <f>IF('RETAIL SALES DATA.'!H128&gt;AVERAGE('RETAIL SALES DATA.'!H128:H1127),"HIGHEST VALUE","LOWEST VALUE")</f>
        <v>HIGHEST VALUE</v>
      </c>
      <c r="S128" t="str">
        <f t="shared" si="11"/>
        <v>Profit</v>
      </c>
      <c r="T128" t="str">
        <f t="shared" si="12"/>
        <v>Cheryl Hoover</v>
      </c>
      <c r="U128" t="str">
        <f t="shared" si="13"/>
        <v>Keyboard</v>
      </c>
      <c r="V128">
        <f t="shared" si="14"/>
        <v>2026</v>
      </c>
      <c r="W128">
        <f t="shared" si="15"/>
        <v>2</v>
      </c>
      <c r="X128">
        <f t="shared" si="16"/>
        <v>30</v>
      </c>
      <c r="Y128" t="str">
        <f t="shared" si="17"/>
        <v>Jan</v>
      </c>
      <c r="Z128">
        <f t="shared" si="18"/>
        <v>5</v>
      </c>
    </row>
    <row r="129" spans="1:26" ht="15.75" customHeight="1" x14ac:dyDescent="0.3">
      <c r="A129" s="2" t="s">
        <v>400</v>
      </c>
      <c r="B129" s="2" t="s">
        <v>401</v>
      </c>
      <c r="C129" s="2" t="s">
        <v>18</v>
      </c>
      <c r="D129" s="2" t="s">
        <v>19</v>
      </c>
      <c r="E129" s="2" t="s">
        <v>32</v>
      </c>
      <c r="F129" s="2">
        <v>14</v>
      </c>
      <c r="G129" s="2">
        <v>4105.76</v>
      </c>
      <c r="H129" s="2">
        <v>57480.639999999999</v>
      </c>
      <c r="I129" s="2">
        <v>39790.480000000003</v>
      </c>
      <c r="J129" s="2">
        <v>17690.16</v>
      </c>
      <c r="K129" s="3">
        <v>45993</v>
      </c>
      <c r="L129" s="3">
        <v>46003</v>
      </c>
      <c r="M129" s="2" t="s">
        <v>181</v>
      </c>
      <c r="N129" s="2">
        <v>4</v>
      </c>
      <c r="O129" s="2" t="s">
        <v>73</v>
      </c>
      <c r="P129" s="25">
        <v>9.6</v>
      </c>
      <c r="Q129" t="str">
        <f t="shared" si="10"/>
        <v>0128</v>
      </c>
      <c r="R129" t="str">
        <f>IF('RETAIL SALES DATA.'!H129&gt;AVERAGE('RETAIL SALES DATA.'!H129:H1128),"HIGHEST VALUE","LOWEST VALUE")</f>
        <v>HIGHEST VALUE</v>
      </c>
      <c r="S129" t="str">
        <f t="shared" si="11"/>
        <v>Profit</v>
      </c>
      <c r="T129" t="str">
        <f t="shared" si="12"/>
        <v>Sarah Jones</v>
      </c>
      <c r="U129" t="str">
        <f t="shared" si="13"/>
        <v>Pen</v>
      </c>
      <c r="V129">
        <f t="shared" si="14"/>
        <v>2025</v>
      </c>
      <c r="W129">
        <f t="shared" si="15"/>
        <v>12</v>
      </c>
      <c r="X129">
        <f t="shared" si="16"/>
        <v>2</v>
      </c>
      <c r="Y129" t="str">
        <f t="shared" si="17"/>
        <v>Dec</v>
      </c>
      <c r="Z129">
        <f t="shared" si="18"/>
        <v>10</v>
      </c>
    </row>
    <row r="130" spans="1:26" ht="15.75" customHeight="1" x14ac:dyDescent="0.3">
      <c r="A130" s="2" t="s">
        <v>402</v>
      </c>
      <c r="B130" s="2" t="s">
        <v>403</v>
      </c>
      <c r="C130" s="2" t="s">
        <v>72</v>
      </c>
      <c r="D130" s="2" t="s">
        <v>31</v>
      </c>
      <c r="E130" s="2" t="s">
        <v>32</v>
      </c>
      <c r="F130" s="2">
        <v>1</v>
      </c>
      <c r="G130" s="2">
        <v>2727.86</v>
      </c>
      <c r="H130" s="2">
        <v>2727.86</v>
      </c>
      <c r="I130" s="2">
        <v>1644.59</v>
      </c>
      <c r="J130" s="2">
        <v>1083.27</v>
      </c>
      <c r="K130" s="3">
        <v>46001</v>
      </c>
      <c r="L130" s="3">
        <v>46004</v>
      </c>
      <c r="M130" s="2" t="s">
        <v>33</v>
      </c>
      <c r="N130" s="2">
        <v>1</v>
      </c>
      <c r="O130" s="2" t="s">
        <v>246</v>
      </c>
      <c r="P130" s="25">
        <v>7</v>
      </c>
      <c r="Q130" t="str">
        <f t="shared" si="10"/>
        <v>0129</v>
      </c>
      <c r="R130" t="str">
        <f>IF('RETAIL SALES DATA.'!H130&gt;AVERAGE('RETAIL SALES DATA.'!H130:H1129),"HIGHEST VALUE","LOWEST VALUE")</f>
        <v>LOWEST VALUE</v>
      </c>
      <c r="S130" t="str">
        <f t="shared" si="11"/>
        <v>Profit</v>
      </c>
      <c r="T130" t="str">
        <f t="shared" si="12"/>
        <v>Thomas Boone</v>
      </c>
      <c r="U130" t="str">
        <f t="shared" si="13"/>
        <v>Chair</v>
      </c>
      <c r="V130">
        <f t="shared" si="14"/>
        <v>2025</v>
      </c>
      <c r="W130">
        <f t="shared" si="15"/>
        <v>12</v>
      </c>
      <c r="X130">
        <f t="shared" si="16"/>
        <v>10</v>
      </c>
      <c r="Y130" t="str">
        <f t="shared" si="17"/>
        <v>Dec</v>
      </c>
      <c r="Z130">
        <f t="shared" si="18"/>
        <v>3</v>
      </c>
    </row>
    <row r="131" spans="1:26" ht="15.75" customHeight="1" x14ac:dyDescent="0.3">
      <c r="A131" s="2" t="s">
        <v>404</v>
      </c>
      <c r="B131" s="2" t="s">
        <v>405</v>
      </c>
      <c r="C131" s="2" t="s">
        <v>144</v>
      </c>
      <c r="D131" s="2" t="s">
        <v>19</v>
      </c>
      <c r="E131" s="2" t="s">
        <v>25</v>
      </c>
      <c r="F131" s="2">
        <v>19</v>
      </c>
      <c r="G131" s="2">
        <v>3719.11</v>
      </c>
      <c r="H131" s="2">
        <v>70663.09</v>
      </c>
      <c r="I131" s="2">
        <v>54596.35</v>
      </c>
      <c r="J131" s="2">
        <v>16066.74</v>
      </c>
      <c r="K131" s="3">
        <v>45768</v>
      </c>
      <c r="L131" s="3">
        <v>45769</v>
      </c>
      <c r="M131" s="2" t="s">
        <v>26</v>
      </c>
      <c r="N131" s="2">
        <v>4</v>
      </c>
      <c r="O131" s="2" t="s">
        <v>406</v>
      </c>
      <c r="P131" s="25">
        <v>6.7</v>
      </c>
      <c r="Q131" t="str">
        <f t="shared" ref="Q131:Q194" si="19">RIGHT(A131,"4")</f>
        <v>0130</v>
      </c>
      <c r="R131" t="str">
        <f>IF('RETAIL SALES DATA.'!H131&gt;AVERAGE('RETAIL SALES DATA.'!H131:H1130),"HIGHEST VALUE","LOWEST VALUE")</f>
        <v>HIGHEST VALUE</v>
      </c>
      <c r="S131" t="str">
        <f t="shared" ref="S131:S194" si="20">IF(J131&gt;0,"Profit","Loss")</f>
        <v>Profit</v>
      </c>
      <c r="T131" t="str">
        <f t="shared" ref="T131:T194" si="21">PROPER(B131)</f>
        <v>Daniel Ryan</v>
      </c>
      <c r="U131" t="str">
        <f t="shared" ref="U131:U194" si="22">PROPER(C131)</f>
        <v>File</v>
      </c>
      <c r="V131">
        <f t="shared" ref="V131:V194" si="23">YEAR(K131)</f>
        <v>2025</v>
      </c>
      <c r="W131">
        <f t="shared" ref="W131:W194" si="24">MONTH(L131)</f>
        <v>4</v>
      </c>
      <c r="X131">
        <f t="shared" ref="X131:X194" si="25">DAY(K131)</f>
        <v>21</v>
      </c>
      <c r="Y131" t="str">
        <f t="shared" ref="Y131:Y194" si="26">TEXT(K131,"MMM")</f>
        <v>Apr</v>
      </c>
      <c r="Z131">
        <f t="shared" ref="Z131:Z194" si="27">L131-K131</f>
        <v>1</v>
      </c>
    </row>
    <row r="132" spans="1:26" ht="15.75" customHeight="1" x14ac:dyDescent="0.3">
      <c r="A132" s="2" t="s">
        <v>407</v>
      </c>
      <c r="B132" s="2" t="s">
        <v>408</v>
      </c>
      <c r="C132" s="2" t="s">
        <v>195</v>
      </c>
      <c r="D132" s="2" t="s">
        <v>43</v>
      </c>
      <c r="E132" s="2" t="s">
        <v>20</v>
      </c>
      <c r="F132" s="2">
        <v>1</v>
      </c>
      <c r="G132" s="2">
        <v>4888.83</v>
      </c>
      <c r="H132" s="2">
        <v>4888.83</v>
      </c>
      <c r="I132" s="2">
        <v>2552.35</v>
      </c>
      <c r="J132" s="2">
        <v>2336.48</v>
      </c>
      <c r="K132" s="3">
        <v>45920</v>
      </c>
      <c r="L132" s="3">
        <v>45925</v>
      </c>
      <c r="M132" s="2" t="s">
        <v>38</v>
      </c>
      <c r="N132" s="2">
        <v>5</v>
      </c>
      <c r="O132" s="2" t="s">
        <v>409</v>
      </c>
      <c r="P132" s="25">
        <v>6.8</v>
      </c>
      <c r="Q132" t="str">
        <f t="shared" si="19"/>
        <v>0131</v>
      </c>
      <c r="R132" t="str">
        <f>IF('RETAIL SALES DATA.'!H132&gt;AVERAGE('RETAIL SALES DATA.'!H132:H1131),"HIGHEST VALUE","LOWEST VALUE")</f>
        <v>LOWEST VALUE</v>
      </c>
      <c r="S132" t="str">
        <f t="shared" si="20"/>
        <v>Profit</v>
      </c>
      <c r="T132" t="str">
        <f t="shared" si="21"/>
        <v>Willie Stewart</v>
      </c>
      <c r="U132" t="str">
        <f t="shared" si="22"/>
        <v>Monitor</v>
      </c>
      <c r="V132">
        <f t="shared" si="23"/>
        <v>2025</v>
      </c>
      <c r="W132">
        <f t="shared" si="24"/>
        <v>9</v>
      </c>
      <c r="X132">
        <f t="shared" si="25"/>
        <v>20</v>
      </c>
      <c r="Y132" t="str">
        <f t="shared" si="26"/>
        <v>Sep</v>
      </c>
      <c r="Z132">
        <f t="shared" si="27"/>
        <v>5</v>
      </c>
    </row>
    <row r="133" spans="1:26" ht="15.75" customHeight="1" x14ac:dyDescent="0.3">
      <c r="A133" s="2" t="s">
        <v>410</v>
      </c>
      <c r="B133" s="2" t="s">
        <v>411</v>
      </c>
      <c r="C133" s="2" t="s">
        <v>88</v>
      </c>
      <c r="D133" s="2" t="s">
        <v>31</v>
      </c>
      <c r="E133" s="2" t="s">
        <v>44</v>
      </c>
      <c r="F133" s="2">
        <v>11</v>
      </c>
      <c r="G133" s="2">
        <v>2971.45</v>
      </c>
      <c r="H133" s="2">
        <v>32685.95</v>
      </c>
      <c r="I133" s="2">
        <v>28439.65</v>
      </c>
      <c r="J133" s="2">
        <v>4246.3</v>
      </c>
      <c r="K133" s="3">
        <v>45901</v>
      </c>
      <c r="L133" s="3">
        <v>45904</v>
      </c>
      <c r="M133" s="2" t="s">
        <v>69</v>
      </c>
      <c r="N133" s="2">
        <v>4</v>
      </c>
      <c r="O133" s="2" t="s">
        <v>178</v>
      </c>
      <c r="P133" s="25">
        <v>8.5</v>
      </c>
      <c r="Q133" t="str">
        <f t="shared" si="19"/>
        <v>0132</v>
      </c>
      <c r="R133" t="str">
        <f>IF('RETAIL SALES DATA.'!H133&gt;AVERAGE('RETAIL SALES DATA.'!H133:H1132),"HIGHEST VALUE","LOWEST VALUE")</f>
        <v>HIGHEST VALUE</v>
      </c>
      <c r="S133" t="str">
        <f t="shared" si="20"/>
        <v>Profit</v>
      </c>
      <c r="T133" t="str">
        <f t="shared" si="21"/>
        <v>Michelle Brown</v>
      </c>
      <c r="U133" t="str">
        <f t="shared" si="22"/>
        <v>Cupboard</v>
      </c>
      <c r="V133">
        <f t="shared" si="23"/>
        <v>2025</v>
      </c>
      <c r="W133">
        <f t="shared" si="24"/>
        <v>9</v>
      </c>
      <c r="X133">
        <f t="shared" si="25"/>
        <v>1</v>
      </c>
      <c r="Y133" t="str">
        <f t="shared" si="26"/>
        <v>Sep</v>
      </c>
      <c r="Z133">
        <f t="shared" si="27"/>
        <v>3</v>
      </c>
    </row>
    <row r="134" spans="1:26" ht="15.75" customHeight="1" x14ac:dyDescent="0.3">
      <c r="A134" s="2" t="s">
        <v>412</v>
      </c>
      <c r="B134" s="2" t="s">
        <v>413</v>
      </c>
      <c r="C134" s="2" t="s">
        <v>72</v>
      </c>
      <c r="D134" s="2" t="s">
        <v>31</v>
      </c>
      <c r="E134" s="2" t="s">
        <v>25</v>
      </c>
      <c r="F134" s="2">
        <v>13</v>
      </c>
      <c r="G134" s="2">
        <v>2817.11</v>
      </c>
      <c r="H134" s="2">
        <v>36622.43</v>
      </c>
      <c r="I134" s="2">
        <v>22682.85</v>
      </c>
      <c r="J134" s="2">
        <v>13939.58</v>
      </c>
      <c r="K134" s="3">
        <v>45499</v>
      </c>
      <c r="L134" s="3">
        <v>45508</v>
      </c>
      <c r="M134" s="2" t="s">
        <v>69</v>
      </c>
      <c r="N134" s="2">
        <v>2</v>
      </c>
      <c r="O134" s="2" t="s">
        <v>414</v>
      </c>
      <c r="P134" s="25">
        <v>8</v>
      </c>
      <c r="Q134" t="str">
        <f t="shared" si="19"/>
        <v>0133</v>
      </c>
      <c r="R134" t="str">
        <f>IF('RETAIL SALES DATA.'!H134&gt;AVERAGE('RETAIL SALES DATA.'!H134:H1133),"HIGHEST VALUE","LOWEST VALUE")</f>
        <v>HIGHEST VALUE</v>
      </c>
      <c r="S134" t="str">
        <f t="shared" si="20"/>
        <v>Profit</v>
      </c>
      <c r="T134" t="str">
        <f t="shared" si="21"/>
        <v>Theresa Robinson Md</v>
      </c>
      <c r="U134" t="str">
        <f t="shared" si="22"/>
        <v>Chair</v>
      </c>
      <c r="V134">
        <f t="shared" si="23"/>
        <v>2024</v>
      </c>
      <c r="W134">
        <f t="shared" si="24"/>
        <v>8</v>
      </c>
      <c r="X134">
        <f t="shared" si="25"/>
        <v>26</v>
      </c>
      <c r="Y134" t="str">
        <f t="shared" si="26"/>
        <v>Jul</v>
      </c>
      <c r="Z134">
        <f t="shared" si="27"/>
        <v>9</v>
      </c>
    </row>
    <row r="135" spans="1:26" ht="15.75" customHeight="1" x14ac:dyDescent="0.3">
      <c r="A135" s="2" t="s">
        <v>415</v>
      </c>
      <c r="B135" s="2" t="s">
        <v>416</v>
      </c>
      <c r="C135" s="2" t="s">
        <v>42</v>
      </c>
      <c r="D135" s="2" t="s">
        <v>43</v>
      </c>
      <c r="E135" s="2" t="s">
        <v>32</v>
      </c>
      <c r="F135" s="2">
        <v>5</v>
      </c>
      <c r="G135" s="2">
        <v>1967.72</v>
      </c>
      <c r="H135" s="2">
        <v>9838.6</v>
      </c>
      <c r="I135" s="2">
        <v>5859.69</v>
      </c>
      <c r="J135" s="2">
        <v>3978.91</v>
      </c>
      <c r="K135" s="3">
        <v>45697</v>
      </c>
      <c r="L135" s="3">
        <v>45700</v>
      </c>
      <c r="M135" s="2" t="s">
        <v>58</v>
      </c>
      <c r="N135" s="2">
        <v>4</v>
      </c>
      <c r="O135" s="2" t="s">
        <v>417</v>
      </c>
      <c r="P135" s="25">
        <v>8.8000000000000007</v>
      </c>
      <c r="Q135" t="str">
        <f t="shared" si="19"/>
        <v>0134</v>
      </c>
      <c r="R135" t="str">
        <f>IF('RETAIL SALES DATA.'!H135&gt;AVERAGE('RETAIL SALES DATA.'!H135:H1134),"HIGHEST VALUE","LOWEST VALUE")</f>
        <v>LOWEST VALUE</v>
      </c>
      <c r="S135" t="str">
        <f t="shared" si="20"/>
        <v>Profit</v>
      </c>
      <c r="T135" t="str">
        <f t="shared" si="21"/>
        <v>Timothy Giles</v>
      </c>
      <c r="U135" t="str">
        <f t="shared" si="22"/>
        <v>Laptop</v>
      </c>
      <c r="V135">
        <f t="shared" si="23"/>
        <v>2025</v>
      </c>
      <c r="W135">
        <f t="shared" si="24"/>
        <v>2</v>
      </c>
      <c r="X135">
        <f t="shared" si="25"/>
        <v>9</v>
      </c>
      <c r="Y135" t="str">
        <f t="shared" si="26"/>
        <v>Feb</v>
      </c>
      <c r="Z135">
        <f t="shared" si="27"/>
        <v>3</v>
      </c>
    </row>
    <row r="136" spans="1:26" ht="15.75" customHeight="1" x14ac:dyDescent="0.3">
      <c r="A136" s="2" t="s">
        <v>418</v>
      </c>
      <c r="B136" s="2" t="s">
        <v>419</v>
      </c>
      <c r="C136" s="2" t="s">
        <v>219</v>
      </c>
      <c r="D136" s="2" t="s">
        <v>43</v>
      </c>
      <c r="E136" s="2" t="s">
        <v>20</v>
      </c>
      <c r="F136" s="2">
        <v>20</v>
      </c>
      <c r="G136" s="2">
        <v>1130.3499999999999</v>
      </c>
      <c r="H136" s="2">
        <v>22607</v>
      </c>
      <c r="I136" s="2">
        <v>15054.71</v>
      </c>
      <c r="J136" s="2">
        <v>7552.29</v>
      </c>
      <c r="K136" s="3">
        <v>45890</v>
      </c>
      <c r="L136" s="3">
        <v>45899</v>
      </c>
      <c r="M136" s="2" t="s">
        <v>33</v>
      </c>
      <c r="N136" s="2">
        <v>4</v>
      </c>
      <c r="O136" s="2" t="s">
        <v>420</v>
      </c>
      <c r="P136" s="25">
        <v>8</v>
      </c>
      <c r="Q136" t="str">
        <f t="shared" si="19"/>
        <v>0135</v>
      </c>
      <c r="R136" t="str">
        <f>IF('RETAIL SALES DATA.'!H136&gt;AVERAGE('RETAIL SALES DATA.'!H136:H1135),"HIGHEST VALUE","LOWEST VALUE")</f>
        <v>LOWEST VALUE</v>
      </c>
      <c r="S136" t="str">
        <f t="shared" si="20"/>
        <v>Profit</v>
      </c>
      <c r="T136" t="str">
        <f t="shared" si="21"/>
        <v>Donna Barron</v>
      </c>
      <c r="U136" t="str">
        <f t="shared" si="22"/>
        <v>Smartphone</v>
      </c>
      <c r="V136">
        <f t="shared" si="23"/>
        <v>2025</v>
      </c>
      <c r="W136">
        <f t="shared" si="24"/>
        <v>8</v>
      </c>
      <c r="X136">
        <f t="shared" si="25"/>
        <v>21</v>
      </c>
      <c r="Y136" t="str">
        <f t="shared" si="26"/>
        <v>Aug</v>
      </c>
      <c r="Z136">
        <f t="shared" si="27"/>
        <v>9</v>
      </c>
    </row>
    <row r="137" spans="1:26" ht="15.75" customHeight="1" x14ac:dyDescent="0.3">
      <c r="A137" s="2" t="s">
        <v>421</v>
      </c>
      <c r="B137" s="2" t="s">
        <v>422</v>
      </c>
      <c r="C137" s="2" t="s">
        <v>195</v>
      </c>
      <c r="D137" s="2" t="s">
        <v>43</v>
      </c>
      <c r="E137" s="2" t="s">
        <v>44</v>
      </c>
      <c r="F137" s="2">
        <v>20</v>
      </c>
      <c r="G137" s="2">
        <v>1813.56</v>
      </c>
      <c r="H137" s="2">
        <v>36271.199999999997</v>
      </c>
      <c r="I137" s="2">
        <v>25918.6</v>
      </c>
      <c r="J137" s="2">
        <v>10352.6</v>
      </c>
      <c r="K137" s="3">
        <v>45531</v>
      </c>
      <c r="L137" s="3">
        <v>45533</v>
      </c>
      <c r="M137" s="2" t="s">
        <v>33</v>
      </c>
      <c r="N137" s="2">
        <v>4</v>
      </c>
      <c r="O137" s="2" t="s">
        <v>423</v>
      </c>
      <c r="P137" s="25">
        <v>8.3000000000000007</v>
      </c>
      <c r="Q137" t="str">
        <f t="shared" si="19"/>
        <v>0136</v>
      </c>
      <c r="R137" t="str">
        <f>IF('RETAIL SALES DATA.'!H137&gt;AVERAGE('RETAIL SALES DATA.'!H137:H1136),"HIGHEST VALUE","LOWEST VALUE")</f>
        <v>HIGHEST VALUE</v>
      </c>
      <c r="S137" t="str">
        <f t="shared" si="20"/>
        <v>Profit</v>
      </c>
      <c r="T137" t="str">
        <f t="shared" si="21"/>
        <v>James Moss</v>
      </c>
      <c r="U137" t="str">
        <f t="shared" si="22"/>
        <v>Monitor</v>
      </c>
      <c r="V137">
        <f t="shared" si="23"/>
        <v>2024</v>
      </c>
      <c r="W137">
        <f t="shared" si="24"/>
        <v>8</v>
      </c>
      <c r="X137">
        <f t="shared" si="25"/>
        <v>27</v>
      </c>
      <c r="Y137" t="str">
        <f t="shared" si="26"/>
        <v>Aug</v>
      </c>
      <c r="Z137">
        <f t="shared" si="27"/>
        <v>2</v>
      </c>
    </row>
    <row r="138" spans="1:26" ht="15.75" customHeight="1" x14ac:dyDescent="0.3">
      <c r="A138" s="2" t="s">
        <v>424</v>
      </c>
      <c r="B138" s="2" t="s">
        <v>425</v>
      </c>
      <c r="C138" s="2" t="s">
        <v>42</v>
      </c>
      <c r="D138" s="2" t="s">
        <v>43</v>
      </c>
      <c r="E138" s="2" t="s">
        <v>32</v>
      </c>
      <c r="F138" s="2">
        <v>5</v>
      </c>
      <c r="G138" s="2">
        <v>1763.78</v>
      </c>
      <c r="H138" s="2">
        <v>8818.9</v>
      </c>
      <c r="I138" s="2">
        <v>4823.21</v>
      </c>
      <c r="J138" s="2">
        <v>3995.69</v>
      </c>
      <c r="K138" s="3">
        <v>45775</v>
      </c>
      <c r="L138" s="3">
        <v>45780</v>
      </c>
      <c r="M138" s="2" t="s">
        <v>21</v>
      </c>
      <c r="N138" s="2">
        <v>4</v>
      </c>
      <c r="O138" s="2" t="s">
        <v>426</v>
      </c>
      <c r="P138" s="25">
        <v>6.8</v>
      </c>
      <c r="Q138" t="str">
        <f t="shared" si="19"/>
        <v>0137</v>
      </c>
      <c r="R138" t="str">
        <f>IF('RETAIL SALES DATA.'!H138&gt;AVERAGE('RETAIL SALES DATA.'!H138:H1137),"HIGHEST VALUE","LOWEST VALUE")</f>
        <v>LOWEST VALUE</v>
      </c>
      <c r="S138" t="str">
        <f t="shared" si="20"/>
        <v>Profit</v>
      </c>
      <c r="T138" t="str">
        <f t="shared" si="21"/>
        <v>Christopher Smith</v>
      </c>
      <c r="U138" t="str">
        <f t="shared" si="22"/>
        <v>Laptop</v>
      </c>
      <c r="V138">
        <f t="shared" si="23"/>
        <v>2025</v>
      </c>
      <c r="W138">
        <f t="shared" si="24"/>
        <v>5</v>
      </c>
      <c r="X138">
        <f t="shared" si="25"/>
        <v>28</v>
      </c>
      <c r="Y138" t="str">
        <f t="shared" si="26"/>
        <v>Apr</v>
      </c>
      <c r="Z138">
        <f t="shared" si="27"/>
        <v>5</v>
      </c>
    </row>
    <row r="139" spans="1:26" ht="15.75" customHeight="1" x14ac:dyDescent="0.3">
      <c r="A139" s="2" t="s">
        <v>427</v>
      </c>
      <c r="B139" s="2" t="s">
        <v>428</v>
      </c>
      <c r="C139" s="2" t="s">
        <v>57</v>
      </c>
      <c r="D139" s="2" t="s">
        <v>19</v>
      </c>
      <c r="E139" s="2" t="s">
        <v>25</v>
      </c>
      <c r="F139" s="2">
        <v>11</v>
      </c>
      <c r="G139" s="2">
        <v>1847.69</v>
      </c>
      <c r="H139" s="2">
        <v>20324.59</v>
      </c>
      <c r="I139" s="2">
        <v>11413.45</v>
      </c>
      <c r="J139" s="2">
        <v>8911.14</v>
      </c>
      <c r="K139" s="3">
        <v>45703</v>
      </c>
      <c r="L139" s="3">
        <v>45712</v>
      </c>
      <c r="M139" s="2" t="s">
        <v>33</v>
      </c>
      <c r="N139" s="2">
        <v>2</v>
      </c>
      <c r="O139" s="2" t="s">
        <v>429</v>
      </c>
      <c r="P139" s="25">
        <v>9.5</v>
      </c>
      <c r="Q139" t="str">
        <f t="shared" si="19"/>
        <v>0138</v>
      </c>
      <c r="R139" t="str">
        <f>IF('RETAIL SALES DATA.'!H139&gt;AVERAGE('RETAIL SALES DATA.'!H139:H1138),"HIGHEST VALUE","LOWEST VALUE")</f>
        <v>LOWEST VALUE</v>
      </c>
      <c r="S139" t="str">
        <f t="shared" si="20"/>
        <v>Profit</v>
      </c>
      <c r="T139" t="str">
        <f t="shared" si="21"/>
        <v>Nathan Ford</v>
      </c>
      <c r="U139" t="str">
        <f t="shared" si="22"/>
        <v>Notebook</v>
      </c>
      <c r="V139">
        <f t="shared" si="23"/>
        <v>2025</v>
      </c>
      <c r="W139">
        <f t="shared" si="24"/>
        <v>2</v>
      </c>
      <c r="X139">
        <f t="shared" si="25"/>
        <v>15</v>
      </c>
      <c r="Y139" t="str">
        <f t="shared" si="26"/>
        <v>Feb</v>
      </c>
      <c r="Z139">
        <f t="shared" si="27"/>
        <v>9</v>
      </c>
    </row>
    <row r="140" spans="1:26" ht="15.75" customHeight="1" x14ac:dyDescent="0.3">
      <c r="A140" s="2" t="s">
        <v>430</v>
      </c>
      <c r="B140" s="2" t="s">
        <v>431</v>
      </c>
      <c r="C140" s="2" t="s">
        <v>37</v>
      </c>
      <c r="D140" s="2" t="s">
        <v>19</v>
      </c>
      <c r="E140" s="2" t="s">
        <v>44</v>
      </c>
      <c r="F140" s="2">
        <v>12</v>
      </c>
      <c r="G140" s="2">
        <v>3236.66</v>
      </c>
      <c r="H140" s="2">
        <v>38839.919999999998</v>
      </c>
      <c r="I140" s="2">
        <v>29231.25</v>
      </c>
      <c r="J140" s="2">
        <v>9608.67</v>
      </c>
      <c r="K140" s="3">
        <v>46072</v>
      </c>
      <c r="L140" s="3">
        <v>46079</v>
      </c>
      <c r="M140" s="2" t="s">
        <v>33</v>
      </c>
      <c r="N140" s="2">
        <v>1</v>
      </c>
      <c r="O140" s="2" t="s">
        <v>313</v>
      </c>
      <c r="P140" s="25">
        <v>8.6</v>
      </c>
      <c r="Q140" t="str">
        <f t="shared" si="19"/>
        <v>0139</v>
      </c>
      <c r="R140" t="str">
        <f>IF('RETAIL SALES DATA.'!H140&gt;AVERAGE('RETAIL SALES DATA.'!H140:H1139),"HIGHEST VALUE","LOWEST VALUE")</f>
        <v>HIGHEST VALUE</v>
      </c>
      <c r="S140" t="str">
        <f t="shared" si="20"/>
        <v>Profit</v>
      </c>
      <c r="T140" t="str">
        <f t="shared" si="21"/>
        <v>Jennifer Hill</v>
      </c>
      <c r="U140" t="str">
        <f t="shared" si="22"/>
        <v>Marker</v>
      </c>
      <c r="V140">
        <f t="shared" si="23"/>
        <v>2026</v>
      </c>
      <c r="W140">
        <f t="shared" si="24"/>
        <v>2</v>
      </c>
      <c r="X140">
        <f t="shared" si="25"/>
        <v>19</v>
      </c>
      <c r="Y140" t="str">
        <f t="shared" si="26"/>
        <v>Feb</v>
      </c>
      <c r="Z140">
        <f t="shared" si="27"/>
        <v>7</v>
      </c>
    </row>
    <row r="141" spans="1:26" ht="15.75" customHeight="1" x14ac:dyDescent="0.3">
      <c r="A141" s="2" t="s">
        <v>432</v>
      </c>
      <c r="B141" s="2" t="s">
        <v>433</v>
      </c>
      <c r="C141" s="2" t="s">
        <v>72</v>
      </c>
      <c r="D141" s="2" t="s">
        <v>31</v>
      </c>
      <c r="E141" s="2" t="s">
        <v>44</v>
      </c>
      <c r="F141" s="2">
        <v>18</v>
      </c>
      <c r="G141" s="2">
        <v>2087.0300000000002</v>
      </c>
      <c r="H141" s="2">
        <v>37566.54</v>
      </c>
      <c r="I141" s="2">
        <v>23695.3</v>
      </c>
      <c r="J141" s="2">
        <v>13871.24</v>
      </c>
      <c r="K141" s="3">
        <v>45881</v>
      </c>
      <c r="L141" s="3">
        <v>45884</v>
      </c>
      <c r="M141" s="2" t="s">
        <v>45</v>
      </c>
      <c r="N141" s="2">
        <v>4</v>
      </c>
      <c r="O141" s="2" t="s">
        <v>354</v>
      </c>
      <c r="P141" s="25">
        <v>9.6999999999999993</v>
      </c>
      <c r="Q141" t="str">
        <f t="shared" si="19"/>
        <v>0140</v>
      </c>
      <c r="R141" t="str">
        <f>IF('RETAIL SALES DATA.'!H141&gt;AVERAGE('RETAIL SALES DATA.'!H141:H1140),"HIGHEST VALUE","LOWEST VALUE")</f>
        <v>HIGHEST VALUE</v>
      </c>
      <c r="S141" t="str">
        <f t="shared" si="20"/>
        <v>Profit</v>
      </c>
      <c r="T141" t="str">
        <f t="shared" si="21"/>
        <v>Adrian Coleman</v>
      </c>
      <c r="U141" t="str">
        <f t="shared" si="22"/>
        <v>Chair</v>
      </c>
      <c r="V141">
        <f t="shared" si="23"/>
        <v>2025</v>
      </c>
      <c r="W141">
        <f t="shared" si="24"/>
        <v>8</v>
      </c>
      <c r="X141">
        <f t="shared" si="25"/>
        <v>12</v>
      </c>
      <c r="Y141" t="str">
        <f t="shared" si="26"/>
        <v>Aug</v>
      </c>
      <c r="Z141">
        <f t="shared" si="27"/>
        <v>3</v>
      </c>
    </row>
    <row r="142" spans="1:26" ht="15.75" customHeight="1" x14ac:dyDescent="0.3">
      <c r="A142" s="2" t="s">
        <v>434</v>
      </c>
      <c r="B142" s="2" t="s">
        <v>435</v>
      </c>
      <c r="C142" s="2" t="s">
        <v>88</v>
      </c>
      <c r="D142" s="2" t="s">
        <v>31</v>
      </c>
      <c r="E142" s="2" t="s">
        <v>25</v>
      </c>
      <c r="F142" s="2">
        <v>4</v>
      </c>
      <c r="G142" s="2">
        <v>3524.72</v>
      </c>
      <c r="H142" s="2">
        <v>14098.88</v>
      </c>
      <c r="I142" s="2">
        <v>10013.14</v>
      </c>
      <c r="J142" s="2">
        <v>4085.74</v>
      </c>
      <c r="K142" s="3">
        <v>45826</v>
      </c>
      <c r="L142" s="3">
        <v>45830</v>
      </c>
      <c r="M142" s="2" t="s">
        <v>45</v>
      </c>
      <c r="N142" s="2">
        <v>2</v>
      </c>
      <c r="O142" s="2" t="s">
        <v>436</v>
      </c>
      <c r="P142" s="25">
        <v>7.5</v>
      </c>
      <c r="Q142" t="str">
        <f t="shared" si="19"/>
        <v>0141</v>
      </c>
      <c r="R142" t="str">
        <f>IF('RETAIL SALES DATA.'!H142&gt;AVERAGE('RETAIL SALES DATA.'!H142:H1141),"HIGHEST VALUE","LOWEST VALUE")</f>
        <v>LOWEST VALUE</v>
      </c>
      <c r="S142" t="str">
        <f t="shared" si="20"/>
        <v>Profit</v>
      </c>
      <c r="T142" t="str">
        <f t="shared" si="21"/>
        <v>Aaron Wilson</v>
      </c>
      <c r="U142" t="str">
        <f t="shared" si="22"/>
        <v>Cupboard</v>
      </c>
      <c r="V142">
        <f t="shared" si="23"/>
        <v>2025</v>
      </c>
      <c r="W142">
        <f t="shared" si="24"/>
        <v>6</v>
      </c>
      <c r="X142">
        <f t="shared" si="25"/>
        <v>18</v>
      </c>
      <c r="Y142" t="str">
        <f t="shared" si="26"/>
        <v>Jun</v>
      </c>
      <c r="Z142">
        <f t="shared" si="27"/>
        <v>4</v>
      </c>
    </row>
    <row r="143" spans="1:26" ht="15.75" customHeight="1" x14ac:dyDescent="0.3">
      <c r="A143" s="2" t="s">
        <v>437</v>
      </c>
      <c r="B143" s="2" t="s">
        <v>438</v>
      </c>
      <c r="C143" s="2" t="s">
        <v>37</v>
      </c>
      <c r="D143" s="2" t="s">
        <v>19</v>
      </c>
      <c r="E143" s="2" t="s">
        <v>32</v>
      </c>
      <c r="F143" s="2">
        <v>7</v>
      </c>
      <c r="G143" s="2">
        <v>4464.22</v>
      </c>
      <c r="H143" s="2">
        <v>31249.54</v>
      </c>
      <c r="I143" s="2">
        <v>23021.5</v>
      </c>
      <c r="J143" s="2">
        <v>8228.0400000000009</v>
      </c>
      <c r="K143" s="3">
        <v>45806</v>
      </c>
      <c r="L143" s="3">
        <v>45812</v>
      </c>
      <c r="M143" s="2" t="s">
        <v>33</v>
      </c>
      <c r="N143" s="2">
        <v>2</v>
      </c>
      <c r="O143" s="2" t="s">
        <v>208</v>
      </c>
      <c r="P143" s="25">
        <v>8.6</v>
      </c>
      <c r="Q143" t="str">
        <f t="shared" si="19"/>
        <v>0142</v>
      </c>
      <c r="R143" t="str">
        <f>IF('RETAIL SALES DATA.'!H143&gt;AVERAGE('RETAIL SALES DATA.'!H143:H1142),"HIGHEST VALUE","LOWEST VALUE")</f>
        <v>HIGHEST VALUE</v>
      </c>
      <c r="S143" t="str">
        <f t="shared" si="20"/>
        <v>Profit</v>
      </c>
      <c r="T143" t="str">
        <f t="shared" si="21"/>
        <v>Matthew Stevens</v>
      </c>
      <c r="U143" t="str">
        <f t="shared" si="22"/>
        <v>Marker</v>
      </c>
      <c r="V143">
        <f t="shared" si="23"/>
        <v>2025</v>
      </c>
      <c r="W143">
        <f t="shared" si="24"/>
        <v>6</v>
      </c>
      <c r="X143">
        <f t="shared" si="25"/>
        <v>29</v>
      </c>
      <c r="Y143" t="str">
        <f t="shared" si="26"/>
        <v>May</v>
      </c>
      <c r="Z143">
        <f t="shared" si="27"/>
        <v>6</v>
      </c>
    </row>
    <row r="144" spans="1:26" ht="15.75" customHeight="1" x14ac:dyDescent="0.3">
      <c r="A144" s="2" t="s">
        <v>439</v>
      </c>
      <c r="B144" s="2" t="s">
        <v>440</v>
      </c>
      <c r="C144" s="2" t="s">
        <v>30</v>
      </c>
      <c r="D144" s="2" t="s">
        <v>31</v>
      </c>
      <c r="E144" s="2" t="s">
        <v>44</v>
      </c>
      <c r="F144" s="2">
        <v>2</v>
      </c>
      <c r="G144" s="2">
        <v>2673.59</v>
      </c>
      <c r="H144" s="2">
        <v>5347.18</v>
      </c>
      <c r="I144" s="2">
        <v>3188.17</v>
      </c>
      <c r="J144" s="2">
        <v>2159.0100000000002</v>
      </c>
      <c r="K144" s="3">
        <v>46103</v>
      </c>
      <c r="L144" s="3">
        <v>46113</v>
      </c>
      <c r="M144" s="2" t="s">
        <v>21</v>
      </c>
      <c r="N144" s="2">
        <v>2</v>
      </c>
      <c r="O144" s="2" t="s">
        <v>441</v>
      </c>
      <c r="P144" s="25">
        <v>6.4</v>
      </c>
      <c r="Q144" t="str">
        <f t="shared" si="19"/>
        <v>0143</v>
      </c>
      <c r="R144" t="str">
        <f>IF('RETAIL SALES DATA.'!H144&gt;AVERAGE('RETAIL SALES DATA.'!H144:H1143),"HIGHEST VALUE","LOWEST VALUE")</f>
        <v>LOWEST VALUE</v>
      </c>
      <c r="S144" t="str">
        <f t="shared" si="20"/>
        <v>Profit</v>
      </c>
      <c r="T144" t="str">
        <f t="shared" si="21"/>
        <v>Jamie Stewart</v>
      </c>
      <c r="U144" t="str">
        <f t="shared" si="22"/>
        <v>Desk</v>
      </c>
      <c r="V144">
        <f t="shared" si="23"/>
        <v>2026</v>
      </c>
      <c r="W144">
        <f t="shared" si="24"/>
        <v>4</v>
      </c>
      <c r="X144">
        <f t="shared" si="25"/>
        <v>22</v>
      </c>
      <c r="Y144" t="str">
        <f t="shared" si="26"/>
        <v>Mar</v>
      </c>
      <c r="Z144">
        <f t="shared" si="27"/>
        <v>10</v>
      </c>
    </row>
    <row r="145" spans="1:26" ht="15.75" customHeight="1" x14ac:dyDescent="0.3">
      <c r="A145" s="2" t="s">
        <v>442</v>
      </c>
      <c r="B145" s="2" t="s">
        <v>443</v>
      </c>
      <c r="C145" s="2" t="s">
        <v>88</v>
      </c>
      <c r="D145" s="2" t="s">
        <v>31</v>
      </c>
      <c r="E145" s="2" t="s">
        <v>32</v>
      </c>
      <c r="F145" s="2">
        <v>2</v>
      </c>
      <c r="G145" s="2">
        <v>3399.57</v>
      </c>
      <c r="H145" s="2">
        <v>6799.14</v>
      </c>
      <c r="I145" s="2">
        <v>4081.97</v>
      </c>
      <c r="J145" s="2">
        <v>2717.17</v>
      </c>
      <c r="K145" s="3">
        <v>45925</v>
      </c>
      <c r="L145" s="3">
        <v>45927</v>
      </c>
      <c r="M145" s="2" t="s">
        <v>58</v>
      </c>
      <c r="N145" s="2">
        <v>1</v>
      </c>
      <c r="O145" s="2" t="s">
        <v>59</v>
      </c>
      <c r="P145" s="25">
        <v>6.2</v>
      </c>
      <c r="Q145" t="str">
        <f t="shared" si="19"/>
        <v>0144</v>
      </c>
      <c r="R145" t="str">
        <f>IF('RETAIL SALES DATA.'!H145&gt;AVERAGE('RETAIL SALES DATA.'!H145:H1144),"HIGHEST VALUE","LOWEST VALUE")</f>
        <v>LOWEST VALUE</v>
      </c>
      <c r="S145" t="str">
        <f t="shared" si="20"/>
        <v>Profit</v>
      </c>
      <c r="T145" t="str">
        <f t="shared" si="21"/>
        <v>Mrs. Kimberly Murphy Dvm</v>
      </c>
      <c r="U145" t="str">
        <f t="shared" si="22"/>
        <v>Cupboard</v>
      </c>
      <c r="V145">
        <f t="shared" si="23"/>
        <v>2025</v>
      </c>
      <c r="W145">
        <f t="shared" si="24"/>
        <v>9</v>
      </c>
      <c r="X145">
        <f t="shared" si="25"/>
        <v>25</v>
      </c>
      <c r="Y145" t="str">
        <f t="shared" si="26"/>
        <v>Sep</v>
      </c>
      <c r="Z145">
        <f t="shared" si="27"/>
        <v>2</v>
      </c>
    </row>
    <row r="146" spans="1:26" ht="15.75" customHeight="1" x14ac:dyDescent="0.3">
      <c r="A146" s="2" t="s">
        <v>444</v>
      </c>
      <c r="B146" s="2" t="s">
        <v>445</v>
      </c>
      <c r="C146" s="2" t="s">
        <v>49</v>
      </c>
      <c r="D146" s="2" t="s">
        <v>43</v>
      </c>
      <c r="E146" s="2" t="s">
        <v>25</v>
      </c>
      <c r="F146" s="2">
        <v>17</v>
      </c>
      <c r="G146" s="2">
        <v>1355.88</v>
      </c>
      <c r="H146" s="2">
        <v>23049.96</v>
      </c>
      <c r="I146" s="2">
        <v>14086.49</v>
      </c>
      <c r="J146" s="2">
        <v>8963.4699999999993</v>
      </c>
      <c r="K146" s="3">
        <v>46094</v>
      </c>
      <c r="L146" s="3">
        <v>46097</v>
      </c>
      <c r="M146" s="2" t="s">
        <v>58</v>
      </c>
      <c r="N146" s="2">
        <v>1</v>
      </c>
      <c r="O146" s="2" t="s">
        <v>446</v>
      </c>
      <c r="P146" s="25">
        <v>6.2</v>
      </c>
      <c r="Q146" t="str">
        <f t="shared" si="19"/>
        <v>0145</v>
      </c>
      <c r="R146" t="str">
        <f>IF('RETAIL SALES DATA.'!H146&gt;AVERAGE('RETAIL SALES DATA.'!H146:H1145),"HIGHEST VALUE","LOWEST VALUE")</f>
        <v>LOWEST VALUE</v>
      </c>
      <c r="S146" t="str">
        <f t="shared" si="20"/>
        <v>Profit</v>
      </c>
      <c r="T146" t="str">
        <f t="shared" si="21"/>
        <v>Kathleen Davis</v>
      </c>
      <c r="U146" t="str">
        <f t="shared" si="22"/>
        <v>Mouse</v>
      </c>
      <c r="V146">
        <f t="shared" si="23"/>
        <v>2026</v>
      </c>
      <c r="W146">
        <f t="shared" si="24"/>
        <v>3</v>
      </c>
      <c r="X146">
        <f t="shared" si="25"/>
        <v>13</v>
      </c>
      <c r="Y146" t="str">
        <f t="shared" si="26"/>
        <v>Mar</v>
      </c>
      <c r="Z146">
        <f t="shared" si="27"/>
        <v>3</v>
      </c>
    </row>
    <row r="147" spans="1:26" ht="15.75" customHeight="1" x14ac:dyDescent="0.3">
      <c r="A147" s="2" t="s">
        <v>447</v>
      </c>
      <c r="B147" s="2" t="s">
        <v>264</v>
      </c>
      <c r="C147" s="2" t="s">
        <v>18</v>
      </c>
      <c r="D147" s="2" t="s">
        <v>19</v>
      </c>
      <c r="E147" s="2" t="s">
        <v>25</v>
      </c>
      <c r="F147" s="2">
        <v>12</v>
      </c>
      <c r="G147" s="2">
        <v>2672.34</v>
      </c>
      <c r="H147" s="2">
        <v>32068.080000000002</v>
      </c>
      <c r="I147" s="2">
        <v>19776.61</v>
      </c>
      <c r="J147" s="2">
        <v>12291.47</v>
      </c>
      <c r="K147" s="3">
        <v>46090</v>
      </c>
      <c r="L147" s="3">
        <v>46100</v>
      </c>
      <c r="M147" s="2" t="s">
        <v>45</v>
      </c>
      <c r="N147" s="2">
        <v>4</v>
      </c>
      <c r="O147" s="2" t="s">
        <v>260</v>
      </c>
      <c r="P147" s="25">
        <v>10</v>
      </c>
      <c r="Q147" t="str">
        <f t="shared" si="19"/>
        <v>0146</v>
      </c>
      <c r="R147" t="str">
        <f>IF('RETAIL SALES DATA.'!H147&gt;AVERAGE('RETAIL SALES DATA.'!H147:H1146),"HIGHEST VALUE","LOWEST VALUE")</f>
        <v>HIGHEST VALUE</v>
      </c>
      <c r="S147" t="str">
        <f t="shared" si="20"/>
        <v>Profit</v>
      </c>
      <c r="T147" t="str">
        <f t="shared" si="21"/>
        <v>John Williams</v>
      </c>
      <c r="U147" t="str">
        <f t="shared" si="22"/>
        <v>Pen</v>
      </c>
      <c r="V147">
        <f t="shared" si="23"/>
        <v>2026</v>
      </c>
      <c r="W147">
        <f t="shared" si="24"/>
        <v>3</v>
      </c>
      <c r="X147">
        <f t="shared" si="25"/>
        <v>9</v>
      </c>
      <c r="Y147" t="str">
        <f t="shared" si="26"/>
        <v>Mar</v>
      </c>
      <c r="Z147">
        <f t="shared" si="27"/>
        <v>10</v>
      </c>
    </row>
    <row r="148" spans="1:26" ht="15.75" customHeight="1" x14ac:dyDescent="0.3">
      <c r="A148" s="2" t="s">
        <v>448</v>
      </c>
      <c r="B148" s="2" t="s">
        <v>449</v>
      </c>
      <c r="C148" s="2" t="s">
        <v>195</v>
      </c>
      <c r="D148" s="2" t="s">
        <v>43</v>
      </c>
      <c r="E148" s="2" t="s">
        <v>25</v>
      </c>
      <c r="F148" s="2">
        <v>4</v>
      </c>
      <c r="G148" s="2">
        <v>2265.59</v>
      </c>
      <c r="H148" s="2">
        <v>9062.36</v>
      </c>
      <c r="I148" s="2">
        <v>4909.1400000000003</v>
      </c>
      <c r="J148" s="2">
        <v>4153.22</v>
      </c>
      <c r="K148" s="3">
        <v>45711</v>
      </c>
      <c r="L148" s="3">
        <v>45720</v>
      </c>
      <c r="M148" s="2" t="s">
        <v>181</v>
      </c>
      <c r="N148" s="2">
        <v>4</v>
      </c>
      <c r="O148" s="2" t="s">
        <v>172</v>
      </c>
      <c r="P148" s="25">
        <v>8.1999999999999993</v>
      </c>
      <c r="Q148" t="str">
        <f t="shared" si="19"/>
        <v>0147</v>
      </c>
      <c r="R148" t="str">
        <f>IF('RETAIL SALES DATA.'!H148&gt;AVERAGE('RETAIL SALES DATA.'!H148:H1147),"HIGHEST VALUE","LOWEST VALUE")</f>
        <v>LOWEST VALUE</v>
      </c>
      <c r="S148" t="str">
        <f t="shared" si="20"/>
        <v>Profit</v>
      </c>
      <c r="T148" t="str">
        <f t="shared" si="21"/>
        <v>Courtney Hanson</v>
      </c>
      <c r="U148" t="str">
        <f t="shared" si="22"/>
        <v>Monitor</v>
      </c>
      <c r="V148">
        <f t="shared" si="23"/>
        <v>2025</v>
      </c>
      <c r="W148">
        <f t="shared" si="24"/>
        <v>3</v>
      </c>
      <c r="X148">
        <f t="shared" si="25"/>
        <v>23</v>
      </c>
      <c r="Y148" t="str">
        <f t="shared" si="26"/>
        <v>Feb</v>
      </c>
      <c r="Z148">
        <f t="shared" si="27"/>
        <v>9</v>
      </c>
    </row>
    <row r="149" spans="1:26" ht="15.75" customHeight="1" x14ac:dyDescent="0.3">
      <c r="A149" s="2" t="s">
        <v>450</v>
      </c>
      <c r="B149" s="2" t="s">
        <v>451</v>
      </c>
      <c r="C149" s="2" t="s">
        <v>168</v>
      </c>
      <c r="D149" s="2" t="s">
        <v>43</v>
      </c>
      <c r="E149" s="2" t="s">
        <v>25</v>
      </c>
      <c r="F149" s="2">
        <v>4</v>
      </c>
      <c r="G149" s="2">
        <v>262.98</v>
      </c>
      <c r="H149" s="2">
        <v>1051.92</v>
      </c>
      <c r="I149" s="2">
        <v>834.59</v>
      </c>
      <c r="J149" s="2">
        <v>217.33</v>
      </c>
      <c r="K149" s="3">
        <v>45486</v>
      </c>
      <c r="L149" s="3">
        <v>45487</v>
      </c>
      <c r="M149" s="2" t="s">
        <v>181</v>
      </c>
      <c r="N149" s="2">
        <v>2</v>
      </c>
      <c r="O149" s="2" t="s">
        <v>452</v>
      </c>
      <c r="P149" s="25">
        <v>6.4</v>
      </c>
      <c r="Q149" t="str">
        <f t="shared" si="19"/>
        <v>0148</v>
      </c>
      <c r="R149" t="str">
        <f>IF('RETAIL SALES DATA.'!H149&gt;AVERAGE('RETAIL SALES DATA.'!H149:H1148),"HIGHEST VALUE","LOWEST VALUE")</f>
        <v>LOWEST VALUE</v>
      </c>
      <c r="S149" t="str">
        <f t="shared" si="20"/>
        <v>Profit</v>
      </c>
      <c r="T149" t="str">
        <f t="shared" si="21"/>
        <v>John Smith</v>
      </c>
      <c r="U149" t="str">
        <f t="shared" si="22"/>
        <v>Keyboard</v>
      </c>
      <c r="V149">
        <f t="shared" si="23"/>
        <v>2024</v>
      </c>
      <c r="W149">
        <f t="shared" si="24"/>
        <v>7</v>
      </c>
      <c r="X149">
        <f t="shared" si="25"/>
        <v>13</v>
      </c>
      <c r="Y149" t="str">
        <f t="shared" si="26"/>
        <v>Jul</v>
      </c>
      <c r="Z149">
        <f t="shared" si="27"/>
        <v>1</v>
      </c>
    </row>
    <row r="150" spans="1:26" ht="15.75" customHeight="1" x14ac:dyDescent="0.3">
      <c r="A150" s="2" t="s">
        <v>453</v>
      </c>
      <c r="B150" s="2" t="s">
        <v>454</v>
      </c>
      <c r="C150" s="2" t="s">
        <v>72</v>
      </c>
      <c r="D150" s="2" t="s">
        <v>31</v>
      </c>
      <c r="E150" s="2" t="s">
        <v>44</v>
      </c>
      <c r="F150" s="2">
        <v>2</v>
      </c>
      <c r="G150" s="2">
        <v>2054.89</v>
      </c>
      <c r="H150" s="2">
        <v>4109.78</v>
      </c>
      <c r="I150" s="2">
        <v>2995.18</v>
      </c>
      <c r="J150" s="2">
        <v>1114.5999999999999</v>
      </c>
      <c r="K150" s="3">
        <v>45840</v>
      </c>
      <c r="L150" s="3">
        <v>45845</v>
      </c>
      <c r="M150" s="2" t="s">
        <v>181</v>
      </c>
      <c r="N150" s="2">
        <v>3</v>
      </c>
      <c r="O150" s="2" t="s">
        <v>455</v>
      </c>
      <c r="P150" s="25">
        <v>9.6</v>
      </c>
      <c r="Q150" t="str">
        <f t="shared" si="19"/>
        <v>0149</v>
      </c>
      <c r="R150" t="str">
        <f>IF('RETAIL SALES DATA.'!H150&gt;AVERAGE('RETAIL SALES DATA.'!H150:H1149),"HIGHEST VALUE","LOWEST VALUE")</f>
        <v>LOWEST VALUE</v>
      </c>
      <c r="S150" t="str">
        <f t="shared" si="20"/>
        <v>Profit</v>
      </c>
      <c r="T150" t="str">
        <f t="shared" si="21"/>
        <v>Robert Smith</v>
      </c>
      <c r="U150" t="str">
        <f t="shared" si="22"/>
        <v>Chair</v>
      </c>
      <c r="V150">
        <f t="shared" si="23"/>
        <v>2025</v>
      </c>
      <c r="W150">
        <f t="shared" si="24"/>
        <v>7</v>
      </c>
      <c r="X150">
        <f t="shared" si="25"/>
        <v>2</v>
      </c>
      <c r="Y150" t="str">
        <f t="shared" si="26"/>
        <v>Jul</v>
      </c>
      <c r="Z150">
        <f t="shared" si="27"/>
        <v>5</v>
      </c>
    </row>
    <row r="151" spans="1:26" ht="15.75" customHeight="1" x14ac:dyDescent="0.3">
      <c r="A151" s="2" t="s">
        <v>456</v>
      </c>
      <c r="B151" s="2" t="s">
        <v>457</v>
      </c>
      <c r="C151" s="2" t="s">
        <v>168</v>
      </c>
      <c r="D151" s="2" t="s">
        <v>43</v>
      </c>
      <c r="E151" s="2" t="s">
        <v>20</v>
      </c>
      <c r="F151" s="2">
        <v>15</v>
      </c>
      <c r="G151" s="2">
        <v>4558.08</v>
      </c>
      <c r="H151" s="2">
        <v>68371.199999999997</v>
      </c>
      <c r="I151" s="2">
        <v>42343.98</v>
      </c>
      <c r="J151" s="2">
        <v>26027.22</v>
      </c>
      <c r="K151" s="3">
        <v>45992</v>
      </c>
      <c r="L151" s="3">
        <v>45996</v>
      </c>
      <c r="M151" s="2" t="s">
        <v>123</v>
      </c>
      <c r="N151" s="2">
        <v>1</v>
      </c>
      <c r="O151" s="2" t="s">
        <v>325</v>
      </c>
      <c r="P151" s="25">
        <v>9.3000000000000007</v>
      </c>
      <c r="Q151" t="str">
        <f t="shared" si="19"/>
        <v>0150</v>
      </c>
      <c r="R151" t="str">
        <f>IF('RETAIL SALES DATA.'!H151&gt;AVERAGE('RETAIL SALES DATA.'!H151:H1150),"HIGHEST VALUE","LOWEST VALUE")</f>
        <v>HIGHEST VALUE</v>
      </c>
      <c r="S151" t="str">
        <f t="shared" si="20"/>
        <v>Profit</v>
      </c>
      <c r="T151" t="str">
        <f t="shared" si="21"/>
        <v>Alicia Sheppard</v>
      </c>
      <c r="U151" t="str">
        <f t="shared" si="22"/>
        <v>Keyboard</v>
      </c>
      <c r="V151">
        <f t="shared" si="23"/>
        <v>2025</v>
      </c>
      <c r="W151">
        <f t="shared" si="24"/>
        <v>12</v>
      </c>
      <c r="X151">
        <f t="shared" si="25"/>
        <v>1</v>
      </c>
      <c r="Y151" t="str">
        <f t="shared" si="26"/>
        <v>Dec</v>
      </c>
      <c r="Z151">
        <f t="shared" si="27"/>
        <v>4</v>
      </c>
    </row>
    <row r="152" spans="1:26" ht="15.75" customHeight="1" x14ac:dyDescent="0.3">
      <c r="A152" s="2" t="s">
        <v>458</v>
      </c>
      <c r="B152" s="2" t="s">
        <v>459</v>
      </c>
      <c r="C152" s="2" t="s">
        <v>62</v>
      </c>
      <c r="D152" s="2" t="s">
        <v>31</v>
      </c>
      <c r="E152" s="2" t="s">
        <v>32</v>
      </c>
      <c r="F152" s="2">
        <v>19</v>
      </c>
      <c r="G152" s="2">
        <v>1070.94</v>
      </c>
      <c r="H152" s="2">
        <v>20347.86</v>
      </c>
      <c r="I152" s="2">
        <v>12016.79</v>
      </c>
      <c r="J152" s="2">
        <v>8331.07</v>
      </c>
      <c r="K152" s="3">
        <v>45461</v>
      </c>
      <c r="L152" s="3">
        <v>45462</v>
      </c>
      <c r="M152" s="2" t="s">
        <v>38</v>
      </c>
      <c r="N152" s="2">
        <v>2</v>
      </c>
      <c r="O152" s="2" t="s">
        <v>460</v>
      </c>
      <c r="P152" s="25">
        <v>9.5</v>
      </c>
      <c r="Q152" t="str">
        <f t="shared" si="19"/>
        <v>0151</v>
      </c>
      <c r="R152" t="str">
        <f>IF('RETAIL SALES DATA.'!H152&gt;AVERAGE('RETAIL SALES DATA.'!H152:H1151),"HIGHEST VALUE","LOWEST VALUE")</f>
        <v>LOWEST VALUE</v>
      </c>
      <c r="S152" t="str">
        <f t="shared" si="20"/>
        <v>Profit</v>
      </c>
      <c r="T152" t="str">
        <f t="shared" si="21"/>
        <v>Eric Graham Md</v>
      </c>
      <c r="U152" t="str">
        <f t="shared" si="22"/>
        <v>Table</v>
      </c>
      <c r="V152">
        <f t="shared" si="23"/>
        <v>2024</v>
      </c>
      <c r="W152">
        <f t="shared" si="24"/>
        <v>6</v>
      </c>
      <c r="X152">
        <f t="shared" si="25"/>
        <v>18</v>
      </c>
      <c r="Y152" t="str">
        <f t="shared" si="26"/>
        <v>Jun</v>
      </c>
      <c r="Z152">
        <f t="shared" si="27"/>
        <v>1</v>
      </c>
    </row>
    <row r="153" spans="1:26" ht="15.75" customHeight="1" x14ac:dyDescent="0.3">
      <c r="A153" s="2" t="s">
        <v>461</v>
      </c>
      <c r="B153" s="2" t="s">
        <v>462</v>
      </c>
      <c r="C153" s="2" t="s">
        <v>30</v>
      </c>
      <c r="D153" s="2" t="s">
        <v>31</v>
      </c>
      <c r="E153" s="2" t="s">
        <v>25</v>
      </c>
      <c r="F153" s="2">
        <v>9</v>
      </c>
      <c r="G153" s="2">
        <v>2890.89</v>
      </c>
      <c r="H153" s="2">
        <v>26018.01</v>
      </c>
      <c r="I153" s="2">
        <v>15365.19</v>
      </c>
      <c r="J153" s="2">
        <v>10652.82</v>
      </c>
      <c r="K153" s="3">
        <v>45914</v>
      </c>
      <c r="L153" s="3">
        <v>45921</v>
      </c>
      <c r="M153" s="2" t="s">
        <v>26</v>
      </c>
      <c r="N153" s="2">
        <v>5</v>
      </c>
      <c r="O153" s="2" t="s">
        <v>463</v>
      </c>
      <c r="P153" s="25">
        <v>7.5</v>
      </c>
      <c r="Q153" t="str">
        <f t="shared" si="19"/>
        <v>0152</v>
      </c>
      <c r="R153" t="str">
        <f>IF('RETAIL SALES DATA.'!H153&gt;AVERAGE('RETAIL SALES DATA.'!H153:H1152),"HIGHEST VALUE","LOWEST VALUE")</f>
        <v>LOWEST VALUE</v>
      </c>
      <c r="S153" t="str">
        <f t="shared" si="20"/>
        <v>Profit</v>
      </c>
      <c r="T153" t="str">
        <f t="shared" si="21"/>
        <v>Helen Ashley</v>
      </c>
      <c r="U153" t="str">
        <f t="shared" si="22"/>
        <v>Desk</v>
      </c>
      <c r="V153">
        <f t="shared" si="23"/>
        <v>2025</v>
      </c>
      <c r="W153">
        <f t="shared" si="24"/>
        <v>9</v>
      </c>
      <c r="X153">
        <f t="shared" si="25"/>
        <v>14</v>
      </c>
      <c r="Y153" t="str">
        <f t="shared" si="26"/>
        <v>Sep</v>
      </c>
      <c r="Z153">
        <f t="shared" si="27"/>
        <v>7</v>
      </c>
    </row>
    <row r="154" spans="1:26" ht="15.75" customHeight="1" x14ac:dyDescent="0.3">
      <c r="A154" s="2" t="s">
        <v>464</v>
      </c>
      <c r="B154" s="2" t="s">
        <v>465</v>
      </c>
      <c r="C154" s="2" t="s">
        <v>37</v>
      </c>
      <c r="D154" s="2" t="s">
        <v>19</v>
      </c>
      <c r="E154" s="2" t="s">
        <v>44</v>
      </c>
      <c r="F154" s="2">
        <v>18</v>
      </c>
      <c r="G154" s="2">
        <v>2115.48</v>
      </c>
      <c r="H154" s="2">
        <v>38078.639999999999</v>
      </c>
      <c r="I154" s="2">
        <v>24032.66</v>
      </c>
      <c r="J154" s="2">
        <v>14045.98</v>
      </c>
      <c r="K154" s="3">
        <v>45972</v>
      </c>
      <c r="L154" s="3">
        <v>45982</v>
      </c>
      <c r="M154" s="2" t="s">
        <v>123</v>
      </c>
      <c r="N154" s="2">
        <v>5</v>
      </c>
      <c r="O154" s="2" t="s">
        <v>196</v>
      </c>
      <c r="P154" s="25">
        <v>6.9</v>
      </c>
      <c r="Q154" t="str">
        <f t="shared" si="19"/>
        <v>0153</v>
      </c>
      <c r="R154" t="str">
        <f>IF('RETAIL SALES DATA.'!H154&gt;AVERAGE('RETAIL SALES DATA.'!H154:H1153),"HIGHEST VALUE","LOWEST VALUE")</f>
        <v>HIGHEST VALUE</v>
      </c>
      <c r="S154" t="str">
        <f t="shared" si="20"/>
        <v>Profit</v>
      </c>
      <c r="T154" t="str">
        <f t="shared" si="21"/>
        <v>Michael Harding</v>
      </c>
      <c r="U154" t="str">
        <f t="shared" si="22"/>
        <v>Marker</v>
      </c>
      <c r="V154">
        <f t="shared" si="23"/>
        <v>2025</v>
      </c>
      <c r="W154">
        <f t="shared" si="24"/>
        <v>11</v>
      </c>
      <c r="X154">
        <f t="shared" si="25"/>
        <v>11</v>
      </c>
      <c r="Y154" t="str">
        <f t="shared" si="26"/>
        <v>Nov</v>
      </c>
      <c r="Z154">
        <f t="shared" si="27"/>
        <v>10</v>
      </c>
    </row>
    <row r="155" spans="1:26" ht="15.75" customHeight="1" x14ac:dyDescent="0.3">
      <c r="A155" s="2" t="s">
        <v>466</v>
      </c>
      <c r="B155" s="2" t="s">
        <v>467</v>
      </c>
      <c r="C155" s="2" t="s">
        <v>37</v>
      </c>
      <c r="D155" s="2" t="s">
        <v>19</v>
      </c>
      <c r="E155" s="2" t="s">
        <v>20</v>
      </c>
      <c r="F155" s="2">
        <v>6</v>
      </c>
      <c r="G155" s="2">
        <v>1733.14</v>
      </c>
      <c r="H155" s="2">
        <v>10398.84</v>
      </c>
      <c r="I155" s="2">
        <v>8172.3</v>
      </c>
      <c r="J155" s="2">
        <v>2226.54</v>
      </c>
      <c r="K155" s="3">
        <v>45451</v>
      </c>
      <c r="L155" s="3">
        <v>45456</v>
      </c>
      <c r="M155" s="2" t="s">
        <v>181</v>
      </c>
      <c r="N155" s="2">
        <v>1</v>
      </c>
      <c r="O155" s="2" t="s">
        <v>199</v>
      </c>
      <c r="P155" s="25">
        <v>9</v>
      </c>
      <c r="Q155" t="str">
        <f t="shared" si="19"/>
        <v>0154</v>
      </c>
      <c r="R155" t="str">
        <f>IF('RETAIL SALES DATA.'!H155&gt;AVERAGE('RETAIL SALES DATA.'!H155:H1154),"HIGHEST VALUE","LOWEST VALUE")</f>
        <v>LOWEST VALUE</v>
      </c>
      <c r="S155" t="str">
        <f t="shared" si="20"/>
        <v>Profit</v>
      </c>
      <c r="T155" t="str">
        <f t="shared" si="21"/>
        <v>Anthony Mcmahon</v>
      </c>
      <c r="U155" t="str">
        <f t="shared" si="22"/>
        <v>Marker</v>
      </c>
      <c r="V155">
        <f t="shared" si="23"/>
        <v>2024</v>
      </c>
      <c r="W155">
        <f t="shared" si="24"/>
        <v>6</v>
      </c>
      <c r="X155">
        <f t="shared" si="25"/>
        <v>8</v>
      </c>
      <c r="Y155" t="str">
        <f t="shared" si="26"/>
        <v>Jun</v>
      </c>
      <c r="Z155">
        <f t="shared" si="27"/>
        <v>5</v>
      </c>
    </row>
    <row r="156" spans="1:26" ht="15.75" customHeight="1" x14ac:dyDescent="0.3">
      <c r="A156" s="2" t="s">
        <v>468</v>
      </c>
      <c r="B156" s="2" t="s">
        <v>469</v>
      </c>
      <c r="C156" s="2" t="s">
        <v>72</v>
      </c>
      <c r="D156" s="2" t="s">
        <v>31</v>
      </c>
      <c r="E156" s="2" t="s">
        <v>25</v>
      </c>
      <c r="F156" s="2">
        <v>2</v>
      </c>
      <c r="G156" s="2">
        <v>2727.68</v>
      </c>
      <c r="H156" s="2">
        <v>5455.36</v>
      </c>
      <c r="I156" s="2">
        <v>3137.3</v>
      </c>
      <c r="J156" s="2">
        <v>2318.06</v>
      </c>
      <c r="K156" s="3">
        <v>45581</v>
      </c>
      <c r="L156" s="3">
        <v>45588</v>
      </c>
      <c r="M156" s="2" t="s">
        <v>123</v>
      </c>
      <c r="N156" s="2">
        <v>3</v>
      </c>
      <c r="O156" s="2" t="s">
        <v>470</v>
      </c>
      <c r="P156" s="25">
        <v>8.4</v>
      </c>
      <c r="Q156" t="str">
        <f t="shared" si="19"/>
        <v>0155</v>
      </c>
      <c r="R156" t="str">
        <f>IF('RETAIL SALES DATA.'!H156&gt;AVERAGE('RETAIL SALES DATA.'!H156:H1155),"HIGHEST VALUE","LOWEST VALUE")</f>
        <v>LOWEST VALUE</v>
      </c>
      <c r="S156" t="str">
        <f t="shared" si="20"/>
        <v>Profit</v>
      </c>
      <c r="T156" t="str">
        <f t="shared" si="21"/>
        <v>Janice Sullivan</v>
      </c>
      <c r="U156" t="str">
        <f t="shared" si="22"/>
        <v>Chair</v>
      </c>
      <c r="V156">
        <f t="shared" si="23"/>
        <v>2024</v>
      </c>
      <c r="W156">
        <f t="shared" si="24"/>
        <v>10</v>
      </c>
      <c r="X156">
        <f t="shared" si="25"/>
        <v>16</v>
      </c>
      <c r="Y156" t="str">
        <f t="shared" si="26"/>
        <v>Oct</v>
      </c>
      <c r="Z156">
        <f t="shared" si="27"/>
        <v>7</v>
      </c>
    </row>
    <row r="157" spans="1:26" ht="15.75" customHeight="1" x14ac:dyDescent="0.3">
      <c r="A157" s="2" t="s">
        <v>471</v>
      </c>
      <c r="B157" s="2" t="s">
        <v>472</v>
      </c>
      <c r="C157" s="2" t="s">
        <v>42</v>
      </c>
      <c r="D157" s="2" t="s">
        <v>43</v>
      </c>
      <c r="E157" s="2" t="s">
        <v>32</v>
      </c>
      <c r="F157" s="2">
        <v>7</v>
      </c>
      <c r="G157" s="2">
        <v>1501.54</v>
      </c>
      <c r="H157" s="2">
        <v>10510.78</v>
      </c>
      <c r="I157" s="2">
        <v>9160.69</v>
      </c>
      <c r="J157" s="2">
        <v>1350.09</v>
      </c>
      <c r="K157" s="3">
        <v>45564</v>
      </c>
      <c r="L157" s="3">
        <v>45574</v>
      </c>
      <c r="M157" s="2" t="s">
        <v>50</v>
      </c>
      <c r="N157" s="2">
        <v>5</v>
      </c>
      <c r="O157" s="2" t="s">
        <v>318</v>
      </c>
      <c r="P157" s="25">
        <v>8.3000000000000007</v>
      </c>
      <c r="Q157" t="str">
        <f t="shared" si="19"/>
        <v>0156</v>
      </c>
      <c r="R157" t="str">
        <f>IF('RETAIL SALES DATA.'!H157&gt;AVERAGE('RETAIL SALES DATA.'!H157:H1156),"HIGHEST VALUE","LOWEST VALUE")</f>
        <v>LOWEST VALUE</v>
      </c>
      <c r="S157" t="str">
        <f t="shared" si="20"/>
        <v>Profit</v>
      </c>
      <c r="T157" t="str">
        <f t="shared" si="21"/>
        <v>Eric Hall</v>
      </c>
      <c r="U157" t="str">
        <f t="shared" si="22"/>
        <v>Laptop</v>
      </c>
      <c r="V157">
        <f t="shared" si="23"/>
        <v>2024</v>
      </c>
      <c r="W157">
        <f t="shared" si="24"/>
        <v>10</v>
      </c>
      <c r="X157">
        <f t="shared" si="25"/>
        <v>29</v>
      </c>
      <c r="Y157" t="str">
        <f t="shared" si="26"/>
        <v>Sep</v>
      </c>
      <c r="Z157">
        <f t="shared" si="27"/>
        <v>10</v>
      </c>
    </row>
    <row r="158" spans="1:26" ht="15.75" customHeight="1" x14ac:dyDescent="0.3">
      <c r="A158" s="2" t="s">
        <v>473</v>
      </c>
      <c r="B158" s="2" t="s">
        <v>474</v>
      </c>
      <c r="C158" s="2" t="s">
        <v>62</v>
      </c>
      <c r="D158" s="2" t="s">
        <v>31</v>
      </c>
      <c r="E158" s="2" t="s">
        <v>25</v>
      </c>
      <c r="F158" s="2">
        <v>12</v>
      </c>
      <c r="G158" s="2">
        <v>2980.03</v>
      </c>
      <c r="H158" s="2">
        <v>35760.36</v>
      </c>
      <c r="I158" s="2">
        <v>20731.54</v>
      </c>
      <c r="J158" s="2">
        <v>15028.82</v>
      </c>
      <c r="K158" s="3">
        <v>45776</v>
      </c>
      <c r="L158" s="3">
        <v>45780</v>
      </c>
      <c r="M158" s="2" t="s">
        <v>50</v>
      </c>
      <c r="N158" s="2">
        <v>5</v>
      </c>
      <c r="O158" s="2" t="s">
        <v>475</v>
      </c>
      <c r="P158" s="25">
        <v>6.6</v>
      </c>
      <c r="Q158" t="str">
        <f t="shared" si="19"/>
        <v>0157</v>
      </c>
      <c r="R158" t="str">
        <f>IF('RETAIL SALES DATA.'!H158&gt;AVERAGE('RETAIL SALES DATA.'!H158:H1157),"HIGHEST VALUE","LOWEST VALUE")</f>
        <v>HIGHEST VALUE</v>
      </c>
      <c r="S158" t="str">
        <f t="shared" si="20"/>
        <v>Profit</v>
      </c>
      <c r="T158" t="str">
        <f t="shared" si="21"/>
        <v>Megan Watson</v>
      </c>
      <c r="U158" t="str">
        <f t="shared" si="22"/>
        <v>Table</v>
      </c>
      <c r="V158">
        <f t="shared" si="23"/>
        <v>2025</v>
      </c>
      <c r="W158">
        <f t="shared" si="24"/>
        <v>5</v>
      </c>
      <c r="X158">
        <f t="shared" si="25"/>
        <v>29</v>
      </c>
      <c r="Y158" t="str">
        <f t="shared" si="26"/>
        <v>Apr</v>
      </c>
      <c r="Z158">
        <f t="shared" si="27"/>
        <v>4</v>
      </c>
    </row>
    <row r="159" spans="1:26" ht="15.75" customHeight="1" x14ac:dyDescent="0.3">
      <c r="A159" s="2" t="s">
        <v>476</v>
      </c>
      <c r="B159" s="2" t="s">
        <v>477</v>
      </c>
      <c r="C159" s="2" t="s">
        <v>30</v>
      </c>
      <c r="D159" s="2" t="s">
        <v>31</v>
      </c>
      <c r="E159" s="2" t="s">
        <v>25</v>
      </c>
      <c r="F159" s="2">
        <v>10</v>
      </c>
      <c r="G159" s="2">
        <v>3697.68</v>
      </c>
      <c r="H159" s="2">
        <v>36976.800000000003</v>
      </c>
      <c r="I159" s="2">
        <v>19132.63</v>
      </c>
      <c r="J159" s="2">
        <v>17844.169999999998</v>
      </c>
      <c r="K159" s="3">
        <v>45933</v>
      </c>
      <c r="L159" s="3">
        <v>45937</v>
      </c>
      <c r="M159" s="2" t="s">
        <v>181</v>
      </c>
      <c r="N159" s="2">
        <v>1</v>
      </c>
      <c r="O159" s="2" t="s">
        <v>117</v>
      </c>
      <c r="P159" s="25">
        <v>7.5</v>
      </c>
      <c r="Q159" t="str">
        <f t="shared" si="19"/>
        <v>0158</v>
      </c>
      <c r="R159" t="str">
        <f>IF('RETAIL SALES DATA.'!H159&gt;AVERAGE('RETAIL SALES DATA.'!H159:H1158),"HIGHEST VALUE","LOWEST VALUE")</f>
        <v>HIGHEST VALUE</v>
      </c>
      <c r="S159" t="str">
        <f t="shared" si="20"/>
        <v>Profit</v>
      </c>
      <c r="T159" t="str">
        <f t="shared" si="21"/>
        <v>Sherri Pena</v>
      </c>
      <c r="U159" t="str">
        <f t="shared" si="22"/>
        <v>Desk</v>
      </c>
      <c r="V159">
        <f t="shared" si="23"/>
        <v>2025</v>
      </c>
      <c r="W159">
        <f t="shared" si="24"/>
        <v>10</v>
      </c>
      <c r="X159">
        <f t="shared" si="25"/>
        <v>3</v>
      </c>
      <c r="Y159" t="str">
        <f t="shared" si="26"/>
        <v>Oct</v>
      </c>
      <c r="Z159">
        <f t="shared" si="27"/>
        <v>4</v>
      </c>
    </row>
    <row r="160" spans="1:26" ht="15.75" customHeight="1" x14ac:dyDescent="0.3">
      <c r="A160" s="2" t="s">
        <v>478</v>
      </c>
      <c r="B160" s="2" t="s">
        <v>479</v>
      </c>
      <c r="C160" s="2" t="s">
        <v>30</v>
      </c>
      <c r="D160" s="2" t="s">
        <v>31</v>
      </c>
      <c r="E160" s="2" t="s">
        <v>20</v>
      </c>
      <c r="F160" s="2">
        <v>19</v>
      </c>
      <c r="G160" s="2">
        <v>3770.91</v>
      </c>
      <c r="H160" s="2">
        <v>71647.289999999994</v>
      </c>
      <c r="I160" s="2">
        <v>62133.36</v>
      </c>
      <c r="J160" s="2">
        <v>9513.93</v>
      </c>
      <c r="K160" s="3">
        <v>45933</v>
      </c>
      <c r="L160" s="3">
        <v>45936</v>
      </c>
      <c r="M160" s="2" t="s">
        <v>33</v>
      </c>
      <c r="N160" s="2">
        <v>5</v>
      </c>
      <c r="O160" s="2" t="s">
        <v>480</v>
      </c>
      <c r="P160" s="25">
        <v>6.3</v>
      </c>
      <c r="Q160" t="str">
        <f t="shared" si="19"/>
        <v>0159</v>
      </c>
      <c r="R160" t="str">
        <f>IF('RETAIL SALES DATA.'!H160&gt;AVERAGE('RETAIL SALES DATA.'!H160:H1159),"HIGHEST VALUE","LOWEST VALUE")</f>
        <v>HIGHEST VALUE</v>
      </c>
      <c r="S160" t="str">
        <f t="shared" si="20"/>
        <v>Profit</v>
      </c>
      <c r="T160" t="str">
        <f t="shared" si="21"/>
        <v>Sandy Smith</v>
      </c>
      <c r="U160" t="str">
        <f t="shared" si="22"/>
        <v>Desk</v>
      </c>
      <c r="V160">
        <f t="shared" si="23"/>
        <v>2025</v>
      </c>
      <c r="W160">
        <f t="shared" si="24"/>
        <v>10</v>
      </c>
      <c r="X160">
        <f t="shared" si="25"/>
        <v>3</v>
      </c>
      <c r="Y160" t="str">
        <f t="shared" si="26"/>
        <v>Oct</v>
      </c>
      <c r="Z160">
        <f t="shared" si="27"/>
        <v>3</v>
      </c>
    </row>
    <row r="161" spans="1:26" ht="15.75" customHeight="1" x14ac:dyDescent="0.3">
      <c r="A161" s="2" t="s">
        <v>481</v>
      </c>
      <c r="B161" s="2" t="s">
        <v>482</v>
      </c>
      <c r="C161" s="2" t="s">
        <v>30</v>
      </c>
      <c r="D161" s="2" t="s">
        <v>31</v>
      </c>
      <c r="E161" s="2" t="s">
        <v>32</v>
      </c>
      <c r="F161" s="2">
        <v>17</v>
      </c>
      <c r="G161" s="2">
        <v>4163</v>
      </c>
      <c r="H161" s="2">
        <v>70771</v>
      </c>
      <c r="I161" s="2">
        <v>36434.379999999997</v>
      </c>
      <c r="J161" s="2">
        <v>34336.620000000003</v>
      </c>
      <c r="K161" s="3">
        <v>45787</v>
      </c>
      <c r="L161" s="3">
        <v>45795</v>
      </c>
      <c r="M161" s="2" t="s">
        <v>181</v>
      </c>
      <c r="N161" s="2">
        <v>5</v>
      </c>
      <c r="O161" s="2" t="s">
        <v>483</v>
      </c>
      <c r="P161" s="25">
        <v>9.8000000000000007</v>
      </c>
      <c r="Q161" t="str">
        <f t="shared" si="19"/>
        <v>0160</v>
      </c>
      <c r="R161" t="str">
        <f>IF('RETAIL SALES DATA.'!H161&gt;AVERAGE('RETAIL SALES DATA.'!H161:H1160),"HIGHEST VALUE","LOWEST VALUE")</f>
        <v>HIGHEST VALUE</v>
      </c>
      <c r="S161" t="str">
        <f t="shared" si="20"/>
        <v>Profit</v>
      </c>
      <c r="T161" t="str">
        <f t="shared" si="21"/>
        <v>Scott Todd</v>
      </c>
      <c r="U161" t="str">
        <f t="shared" si="22"/>
        <v>Desk</v>
      </c>
      <c r="V161">
        <f t="shared" si="23"/>
        <v>2025</v>
      </c>
      <c r="W161">
        <f t="shared" si="24"/>
        <v>5</v>
      </c>
      <c r="X161">
        <f t="shared" si="25"/>
        <v>10</v>
      </c>
      <c r="Y161" t="str">
        <f t="shared" si="26"/>
        <v>May</v>
      </c>
      <c r="Z161">
        <f t="shared" si="27"/>
        <v>8</v>
      </c>
    </row>
    <row r="162" spans="1:26" ht="15.75" customHeight="1" x14ac:dyDescent="0.3">
      <c r="A162" s="2" t="s">
        <v>484</v>
      </c>
      <c r="B162" s="2" t="s">
        <v>485</v>
      </c>
      <c r="C162" s="2" t="s">
        <v>30</v>
      </c>
      <c r="D162" s="2" t="s">
        <v>31</v>
      </c>
      <c r="E162" s="2" t="s">
        <v>25</v>
      </c>
      <c r="F162" s="2">
        <v>11</v>
      </c>
      <c r="G162" s="2">
        <v>2436.04</v>
      </c>
      <c r="H162" s="2">
        <v>26796.44</v>
      </c>
      <c r="I162" s="2">
        <v>14249.93</v>
      </c>
      <c r="J162" s="2">
        <v>12546.51</v>
      </c>
      <c r="K162" s="3">
        <v>45707</v>
      </c>
      <c r="L162" s="3">
        <v>45716</v>
      </c>
      <c r="M162" s="2" t="s">
        <v>58</v>
      </c>
      <c r="N162" s="2">
        <v>2</v>
      </c>
      <c r="O162" s="2" t="s">
        <v>486</v>
      </c>
      <c r="P162" s="25">
        <v>8.6999999999999993</v>
      </c>
      <c r="Q162" t="str">
        <f t="shared" si="19"/>
        <v>0161</v>
      </c>
      <c r="R162" t="str">
        <f>IF('RETAIL SALES DATA.'!H162&gt;AVERAGE('RETAIL SALES DATA.'!H162:H1161),"HIGHEST VALUE","LOWEST VALUE")</f>
        <v>HIGHEST VALUE</v>
      </c>
      <c r="S162" t="str">
        <f t="shared" si="20"/>
        <v>Profit</v>
      </c>
      <c r="T162" t="str">
        <f t="shared" si="21"/>
        <v>Angela Henderson</v>
      </c>
      <c r="U162" t="str">
        <f t="shared" si="22"/>
        <v>Desk</v>
      </c>
      <c r="V162">
        <f t="shared" si="23"/>
        <v>2025</v>
      </c>
      <c r="W162">
        <f t="shared" si="24"/>
        <v>2</v>
      </c>
      <c r="X162">
        <f t="shared" si="25"/>
        <v>19</v>
      </c>
      <c r="Y162" t="str">
        <f t="shared" si="26"/>
        <v>Feb</v>
      </c>
      <c r="Z162">
        <f t="shared" si="27"/>
        <v>9</v>
      </c>
    </row>
    <row r="163" spans="1:26" ht="15.75" customHeight="1" x14ac:dyDescent="0.3">
      <c r="A163" s="2" t="s">
        <v>487</v>
      </c>
      <c r="B163" s="2" t="s">
        <v>488</v>
      </c>
      <c r="C163" s="2" t="s">
        <v>144</v>
      </c>
      <c r="D163" s="2" t="s">
        <v>19</v>
      </c>
      <c r="E163" s="2" t="s">
        <v>32</v>
      </c>
      <c r="F163" s="2">
        <v>9</v>
      </c>
      <c r="G163" s="2">
        <v>1173.98</v>
      </c>
      <c r="H163" s="2">
        <v>10565.82</v>
      </c>
      <c r="I163" s="2">
        <v>8029.74</v>
      </c>
      <c r="J163" s="2">
        <v>2536.08</v>
      </c>
      <c r="K163" s="3">
        <v>45934</v>
      </c>
      <c r="L163" s="3">
        <v>45939</v>
      </c>
      <c r="M163" s="2" t="s">
        <v>21</v>
      </c>
      <c r="N163" s="2">
        <v>5</v>
      </c>
      <c r="O163" s="2" t="s">
        <v>367</v>
      </c>
      <c r="P163" s="25">
        <v>6.1</v>
      </c>
      <c r="Q163" t="str">
        <f t="shared" si="19"/>
        <v>0162</v>
      </c>
      <c r="R163" t="str">
        <f>IF('RETAIL SALES DATA.'!H163&gt;AVERAGE('RETAIL SALES DATA.'!H163:H1162),"HIGHEST VALUE","LOWEST VALUE")</f>
        <v>LOWEST VALUE</v>
      </c>
      <c r="S163" t="str">
        <f t="shared" si="20"/>
        <v>Profit</v>
      </c>
      <c r="T163" t="str">
        <f t="shared" si="21"/>
        <v>Blake Ayala</v>
      </c>
      <c r="U163" t="str">
        <f t="shared" si="22"/>
        <v>File</v>
      </c>
      <c r="V163">
        <f t="shared" si="23"/>
        <v>2025</v>
      </c>
      <c r="W163">
        <f t="shared" si="24"/>
        <v>10</v>
      </c>
      <c r="X163">
        <f t="shared" si="25"/>
        <v>4</v>
      </c>
      <c r="Y163" t="str">
        <f t="shared" si="26"/>
        <v>Oct</v>
      </c>
      <c r="Z163">
        <f t="shared" si="27"/>
        <v>5</v>
      </c>
    </row>
    <row r="164" spans="1:26" ht="15.75" customHeight="1" x14ac:dyDescent="0.3">
      <c r="A164" s="2" t="s">
        <v>489</v>
      </c>
      <c r="B164" s="2" t="s">
        <v>490</v>
      </c>
      <c r="C164" s="2" t="s">
        <v>219</v>
      </c>
      <c r="D164" s="2" t="s">
        <v>43</v>
      </c>
      <c r="E164" s="2" t="s">
        <v>25</v>
      </c>
      <c r="F164" s="2">
        <v>9</v>
      </c>
      <c r="G164" s="2">
        <v>3684.57</v>
      </c>
      <c r="H164" s="2">
        <v>33161.129999999997</v>
      </c>
      <c r="I164" s="2">
        <v>23020.76</v>
      </c>
      <c r="J164" s="2">
        <v>10140.370000000001</v>
      </c>
      <c r="K164" s="3">
        <v>45914</v>
      </c>
      <c r="L164" s="3">
        <v>45918</v>
      </c>
      <c r="M164" s="2" t="s">
        <v>38</v>
      </c>
      <c r="N164" s="2">
        <v>2</v>
      </c>
      <c r="O164" s="2" t="s">
        <v>436</v>
      </c>
      <c r="P164" s="25">
        <v>6.8</v>
      </c>
      <c r="Q164" t="str">
        <f t="shared" si="19"/>
        <v>0163</v>
      </c>
      <c r="R164" t="str">
        <f>IF('RETAIL SALES DATA.'!H164&gt;AVERAGE('RETAIL SALES DATA.'!H164:H1163),"HIGHEST VALUE","LOWEST VALUE")</f>
        <v>HIGHEST VALUE</v>
      </c>
      <c r="S164" t="str">
        <f t="shared" si="20"/>
        <v>Profit</v>
      </c>
      <c r="T164" t="str">
        <f t="shared" si="21"/>
        <v>Troy Todd</v>
      </c>
      <c r="U164" t="str">
        <f t="shared" si="22"/>
        <v>Smartphone</v>
      </c>
      <c r="V164">
        <f t="shared" si="23"/>
        <v>2025</v>
      </c>
      <c r="W164">
        <f t="shared" si="24"/>
        <v>9</v>
      </c>
      <c r="X164">
        <f t="shared" si="25"/>
        <v>14</v>
      </c>
      <c r="Y164" t="str">
        <f t="shared" si="26"/>
        <v>Sep</v>
      </c>
      <c r="Z164">
        <f t="shared" si="27"/>
        <v>4</v>
      </c>
    </row>
    <row r="165" spans="1:26" ht="15.75" customHeight="1" x14ac:dyDescent="0.3">
      <c r="A165" s="2" t="s">
        <v>491</v>
      </c>
      <c r="B165" s="2" t="s">
        <v>492</v>
      </c>
      <c r="C165" s="2" t="s">
        <v>72</v>
      </c>
      <c r="D165" s="2" t="s">
        <v>31</v>
      </c>
      <c r="E165" s="2" t="s">
        <v>20</v>
      </c>
      <c r="F165" s="2">
        <v>3</v>
      </c>
      <c r="G165" s="2">
        <v>732.36</v>
      </c>
      <c r="H165" s="2">
        <v>2197.08</v>
      </c>
      <c r="I165" s="2">
        <v>1724.7</v>
      </c>
      <c r="J165" s="2">
        <v>472.38</v>
      </c>
      <c r="K165" s="3">
        <v>45982</v>
      </c>
      <c r="L165" s="3">
        <v>45988</v>
      </c>
      <c r="M165" s="2" t="s">
        <v>45</v>
      </c>
      <c r="N165" s="2">
        <v>4</v>
      </c>
      <c r="O165" s="2" t="s">
        <v>493</v>
      </c>
      <c r="P165" s="25">
        <v>7.2</v>
      </c>
      <c r="Q165" t="str">
        <f t="shared" si="19"/>
        <v>0164</v>
      </c>
      <c r="R165" t="str">
        <f>IF('RETAIL SALES DATA.'!H165&gt;AVERAGE('RETAIL SALES DATA.'!H165:H1164),"HIGHEST VALUE","LOWEST VALUE")</f>
        <v>LOWEST VALUE</v>
      </c>
      <c r="S165" t="str">
        <f t="shared" si="20"/>
        <v>Profit</v>
      </c>
      <c r="T165" t="str">
        <f t="shared" si="21"/>
        <v>Joseph Clark</v>
      </c>
      <c r="U165" t="str">
        <f t="shared" si="22"/>
        <v>Chair</v>
      </c>
      <c r="V165">
        <f t="shared" si="23"/>
        <v>2025</v>
      </c>
      <c r="W165">
        <f t="shared" si="24"/>
        <v>11</v>
      </c>
      <c r="X165">
        <f t="shared" si="25"/>
        <v>21</v>
      </c>
      <c r="Y165" t="str">
        <f t="shared" si="26"/>
        <v>Nov</v>
      </c>
      <c r="Z165">
        <f t="shared" si="27"/>
        <v>6</v>
      </c>
    </row>
    <row r="166" spans="1:26" ht="15.75" customHeight="1" x14ac:dyDescent="0.3">
      <c r="A166" s="2" t="s">
        <v>494</v>
      </c>
      <c r="B166" s="2" t="s">
        <v>495</v>
      </c>
      <c r="C166" s="2" t="s">
        <v>37</v>
      </c>
      <c r="D166" s="2" t="s">
        <v>19</v>
      </c>
      <c r="E166" s="2" t="s">
        <v>20</v>
      </c>
      <c r="F166" s="2">
        <v>5</v>
      </c>
      <c r="G166" s="2">
        <v>245.79</v>
      </c>
      <c r="H166" s="2">
        <v>1228.95</v>
      </c>
      <c r="I166" s="2">
        <v>679.85</v>
      </c>
      <c r="J166" s="2">
        <v>549.1</v>
      </c>
      <c r="K166" s="3">
        <v>45862</v>
      </c>
      <c r="L166" s="3">
        <v>45869</v>
      </c>
      <c r="M166" s="2" t="s">
        <v>38</v>
      </c>
      <c r="N166" s="2">
        <v>4</v>
      </c>
      <c r="O166" s="2" t="s">
        <v>496</v>
      </c>
      <c r="P166" s="25">
        <v>7.2</v>
      </c>
      <c r="Q166" t="str">
        <f t="shared" si="19"/>
        <v>0165</v>
      </c>
      <c r="R166" t="str">
        <f>IF('RETAIL SALES DATA.'!H166&gt;AVERAGE('RETAIL SALES DATA.'!H166:H1165),"HIGHEST VALUE","LOWEST VALUE")</f>
        <v>LOWEST VALUE</v>
      </c>
      <c r="S166" t="str">
        <f t="shared" si="20"/>
        <v>Profit</v>
      </c>
      <c r="T166" t="str">
        <f t="shared" si="21"/>
        <v>Miranda Hill</v>
      </c>
      <c r="U166" t="str">
        <f t="shared" si="22"/>
        <v>Marker</v>
      </c>
      <c r="V166">
        <f t="shared" si="23"/>
        <v>2025</v>
      </c>
      <c r="W166">
        <f t="shared" si="24"/>
        <v>7</v>
      </c>
      <c r="X166">
        <f t="shared" si="25"/>
        <v>24</v>
      </c>
      <c r="Y166" t="str">
        <f t="shared" si="26"/>
        <v>Jul</v>
      </c>
      <c r="Z166">
        <f t="shared" si="27"/>
        <v>7</v>
      </c>
    </row>
    <row r="167" spans="1:26" ht="15.75" customHeight="1" x14ac:dyDescent="0.3">
      <c r="A167" s="2" t="s">
        <v>497</v>
      </c>
      <c r="B167" s="2" t="s">
        <v>498</v>
      </c>
      <c r="C167" s="2" t="s">
        <v>49</v>
      </c>
      <c r="D167" s="2" t="s">
        <v>43</v>
      </c>
      <c r="E167" s="2" t="s">
        <v>44</v>
      </c>
      <c r="F167" s="2">
        <v>7</v>
      </c>
      <c r="G167" s="2">
        <v>1421.01</v>
      </c>
      <c r="H167" s="2">
        <v>9947.07</v>
      </c>
      <c r="I167" s="2">
        <v>6478.97</v>
      </c>
      <c r="J167" s="2">
        <v>3468.1</v>
      </c>
      <c r="K167" s="3">
        <v>45475</v>
      </c>
      <c r="L167" s="3">
        <v>45477</v>
      </c>
      <c r="M167" s="2" t="s">
        <v>181</v>
      </c>
      <c r="N167" s="2">
        <v>4</v>
      </c>
      <c r="O167" s="2" t="s">
        <v>499</v>
      </c>
      <c r="P167" s="25">
        <v>7.1</v>
      </c>
      <c r="Q167" t="str">
        <f t="shared" si="19"/>
        <v>0166</v>
      </c>
      <c r="R167" t="str">
        <f>IF('RETAIL SALES DATA.'!H167&gt;AVERAGE('RETAIL SALES DATA.'!H167:H1166),"HIGHEST VALUE","LOWEST VALUE")</f>
        <v>LOWEST VALUE</v>
      </c>
      <c r="S167" t="str">
        <f t="shared" si="20"/>
        <v>Profit</v>
      </c>
      <c r="T167" t="str">
        <f t="shared" si="21"/>
        <v>Donald Harris</v>
      </c>
      <c r="U167" t="str">
        <f t="shared" si="22"/>
        <v>Mouse</v>
      </c>
      <c r="V167">
        <f t="shared" si="23"/>
        <v>2024</v>
      </c>
      <c r="W167">
        <f t="shared" si="24"/>
        <v>7</v>
      </c>
      <c r="X167">
        <f t="shared" si="25"/>
        <v>2</v>
      </c>
      <c r="Y167" t="str">
        <f t="shared" si="26"/>
        <v>Jul</v>
      </c>
      <c r="Z167">
        <f t="shared" si="27"/>
        <v>2</v>
      </c>
    </row>
    <row r="168" spans="1:26" ht="15.75" customHeight="1" x14ac:dyDescent="0.3">
      <c r="A168" s="2" t="s">
        <v>500</v>
      </c>
      <c r="B168" s="2" t="s">
        <v>501</v>
      </c>
      <c r="C168" s="2" t="s">
        <v>139</v>
      </c>
      <c r="D168" s="2" t="s">
        <v>31</v>
      </c>
      <c r="E168" s="2" t="s">
        <v>44</v>
      </c>
      <c r="F168" s="2">
        <v>11</v>
      </c>
      <c r="G168" s="2">
        <v>1913.67</v>
      </c>
      <c r="H168" s="2">
        <v>21050.37</v>
      </c>
      <c r="I168" s="2">
        <v>18695.05</v>
      </c>
      <c r="J168" s="2">
        <v>2355.3200000000002</v>
      </c>
      <c r="K168" s="3">
        <v>45943</v>
      </c>
      <c r="L168" s="3">
        <v>45948</v>
      </c>
      <c r="M168" s="2" t="s">
        <v>50</v>
      </c>
      <c r="N168" s="2">
        <v>5</v>
      </c>
      <c r="O168" s="2" t="s">
        <v>214</v>
      </c>
      <c r="P168" s="25">
        <v>7.8</v>
      </c>
      <c r="Q168" t="str">
        <f t="shared" si="19"/>
        <v>0167</v>
      </c>
      <c r="R168" t="str">
        <f>IF('RETAIL SALES DATA.'!H168&gt;AVERAGE('RETAIL SALES DATA.'!H168:H1167),"HIGHEST VALUE","LOWEST VALUE")</f>
        <v>LOWEST VALUE</v>
      </c>
      <c r="S168" t="str">
        <f t="shared" si="20"/>
        <v>Profit</v>
      </c>
      <c r="T168" t="str">
        <f t="shared" si="21"/>
        <v>Joanna Woodward</v>
      </c>
      <c r="U168" t="str">
        <f t="shared" si="22"/>
        <v>Sofa</v>
      </c>
      <c r="V168">
        <f t="shared" si="23"/>
        <v>2025</v>
      </c>
      <c r="W168">
        <f t="shared" si="24"/>
        <v>10</v>
      </c>
      <c r="X168">
        <f t="shared" si="25"/>
        <v>13</v>
      </c>
      <c r="Y168" t="str">
        <f t="shared" si="26"/>
        <v>Oct</v>
      </c>
      <c r="Z168">
        <f t="shared" si="27"/>
        <v>5</v>
      </c>
    </row>
    <row r="169" spans="1:26" ht="15.75" customHeight="1" x14ac:dyDescent="0.3">
      <c r="A169" s="2" t="s">
        <v>502</v>
      </c>
      <c r="B169" s="2" t="s">
        <v>503</v>
      </c>
      <c r="C169" s="2" t="s">
        <v>72</v>
      </c>
      <c r="D169" s="2" t="s">
        <v>31</v>
      </c>
      <c r="E169" s="2" t="s">
        <v>44</v>
      </c>
      <c r="F169" s="2">
        <v>15</v>
      </c>
      <c r="G169" s="2">
        <v>2006.04</v>
      </c>
      <c r="H169" s="2">
        <v>30090.6</v>
      </c>
      <c r="I169" s="2">
        <v>19687.71</v>
      </c>
      <c r="J169" s="2">
        <v>10402.89</v>
      </c>
      <c r="K169" s="3">
        <v>45444</v>
      </c>
      <c r="L169" s="3">
        <v>45452</v>
      </c>
      <c r="M169" s="2" t="s">
        <v>26</v>
      </c>
      <c r="N169" s="2">
        <v>3</v>
      </c>
      <c r="O169" s="2" t="s">
        <v>446</v>
      </c>
      <c r="P169" s="25">
        <v>6.5</v>
      </c>
      <c r="Q169" t="str">
        <f t="shared" si="19"/>
        <v>0168</v>
      </c>
      <c r="R169" t="str">
        <f>IF('RETAIL SALES DATA.'!H169&gt;AVERAGE('RETAIL SALES DATA.'!H169:H1168),"HIGHEST VALUE","LOWEST VALUE")</f>
        <v>HIGHEST VALUE</v>
      </c>
      <c r="S169" t="str">
        <f t="shared" si="20"/>
        <v>Profit</v>
      </c>
      <c r="T169" t="str">
        <f t="shared" si="21"/>
        <v>Oscar Blake</v>
      </c>
      <c r="U169" t="str">
        <f t="shared" si="22"/>
        <v>Chair</v>
      </c>
      <c r="V169">
        <f t="shared" si="23"/>
        <v>2024</v>
      </c>
      <c r="W169">
        <f t="shared" si="24"/>
        <v>6</v>
      </c>
      <c r="X169">
        <f t="shared" si="25"/>
        <v>1</v>
      </c>
      <c r="Y169" t="str">
        <f t="shared" si="26"/>
        <v>Jun</v>
      </c>
      <c r="Z169">
        <f t="shared" si="27"/>
        <v>8</v>
      </c>
    </row>
    <row r="170" spans="1:26" ht="15.75" customHeight="1" x14ac:dyDescent="0.3">
      <c r="A170" s="2" t="s">
        <v>504</v>
      </c>
      <c r="B170" s="2" t="s">
        <v>505</v>
      </c>
      <c r="C170" s="2" t="s">
        <v>57</v>
      </c>
      <c r="D170" s="2" t="s">
        <v>19</v>
      </c>
      <c r="E170" s="2" t="s">
        <v>20</v>
      </c>
      <c r="F170" s="2">
        <v>12</v>
      </c>
      <c r="G170" s="2">
        <v>2692.91</v>
      </c>
      <c r="H170" s="2">
        <v>32314.92</v>
      </c>
      <c r="I170" s="2">
        <v>28954.15</v>
      </c>
      <c r="J170" s="2">
        <v>3360.77</v>
      </c>
      <c r="K170" s="3">
        <v>45880</v>
      </c>
      <c r="L170" s="3">
        <v>45882</v>
      </c>
      <c r="M170" s="2" t="s">
        <v>181</v>
      </c>
      <c r="N170" s="2">
        <v>5</v>
      </c>
      <c r="O170" s="2" t="s">
        <v>506</v>
      </c>
      <c r="P170" s="25">
        <v>6.9</v>
      </c>
      <c r="Q170" t="str">
        <f t="shared" si="19"/>
        <v>0169</v>
      </c>
      <c r="R170" t="str">
        <f>IF('RETAIL SALES DATA.'!H170&gt;AVERAGE('RETAIL SALES DATA.'!H170:H1169),"HIGHEST VALUE","LOWEST VALUE")</f>
        <v>HIGHEST VALUE</v>
      </c>
      <c r="S170" t="str">
        <f t="shared" si="20"/>
        <v>Profit</v>
      </c>
      <c r="T170" t="str">
        <f t="shared" si="21"/>
        <v>Carl Torres</v>
      </c>
      <c r="U170" t="str">
        <f t="shared" si="22"/>
        <v>Notebook</v>
      </c>
      <c r="V170">
        <f t="shared" si="23"/>
        <v>2025</v>
      </c>
      <c r="W170">
        <f t="shared" si="24"/>
        <v>8</v>
      </c>
      <c r="X170">
        <f t="shared" si="25"/>
        <v>11</v>
      </c>
      <c r="Y170" t="str">
        <f t="shared" si="26"/>
        <v>Aug</v>
      </c>
      <c r="Z170">
        <f t="shared" si="27"/>
        <v>2</v>
      </c>
    </row>
    <row r="171" spans="1:26" ht="15.75" customHeight="1" x14ac:dyDescent="0.3">
      <c r="A171" s="2" t="s">
        <v>507</v>
      </c>
      <c r="B171" s="2" t="s">
        <v>508</v>
      </c>
      <c r="C171" s="2" t="s">
        <v>144</v>
      </c>
      <c r="D171" s="2" t="s">
        <v>19</v>
      </c>
      <c r="E171" s="2" t="s">
        <v>44</v>
      </c>
      <c r="F171" s="2">
        <v>14</v>
      </c>
      <c r="G171" s="2">
        <v>2851.97</v>
      </c>
      <c r="H171" s="2">
        <v>39927.58</v>
      </c>
      <c r="I171" s="2">
        <v>20920.669999999998</v>
      </c>
      <c r="J171" s="2">
        <v>19006.91</v>
      </c>
      <c r="K171" s="3">
        <v>45585</v>
      </c>
      <c r="L171" s="3">
        <v>45590</v>
      </c>
      <c r="M171" s="2" t="s">
        <v>50</v>
      </c>
      <c r="N171" s="2">
        <v>3</v>
      </c>
      <c r="O171" s="2" t="s">
        <v>509</v>
      </c>
      <c r="P171" s="25">
        <v>6.2</v>
      </c>
      <c r="Q171" t="str">
        <f t="shared" si="19"/>
        <v>0170</v>
      </c>
      <c r="R171" t="str">
        <f>IF('RETAIL SALES DATA.'!H171&gt;AVERAGE('RETAIL SALES DATA.'!H171:H1170),"HIGHEST VALUE","LOWEST VALUE")</f>
        <v>HIGHEST VALUE</v>
      </c>
      <c r="S171" t="str">
        <f t="shared" si="20"/>
        <v>Profit</v>
      </c>
      <c r="T171" t="str">
        <f t="shared" si="21"/>
        <v>Danielle Rush</v>
      </c>
      <c r="U171" t="str">
        <f t="shared" si="22"/>
        <v>File</v>
      </c>
      <c r="V171">
        <f t="shared" si="23"/>
        <v>2024</v>
      </c>
      <c r="W171">
        <f t="shared" si="24"/>
        <v>10</v>
      </c>
      <c r="X171">
        <f t="shared" si="25"/>
        <v>20</v>
      </c>
      <c r="Y171" t="str">
        <f t="shared" si="26"/>
        <v>Oct</v>
      </c>
      <c r="Z171">
        <f t="shared" si="27"/>
        <v>5</v>
      </c>
    </row>
    <row r="172" spans="1:26" ht="15.75" customHeight="1" x14ac:dyDescent="0.3">
      <c r="A172" s="2" t="s">
        <v>510</v>
      </c>
      <c r="B172" s="2" t="s">
        <v>511</v>
      </c>
      <c r="C172" s="2" t="s">
        <v>168</v>
      </c>
      <c r="D172" s="2" t="s">
        <v>43</v>
      </c>
      <c r="E172" s="2" t="s">
        <v>44</v>
      </c>
      <c r="F172" s="2">
        <v>7</v>
      </c>
      <c r="G172" s="2">
        <v>495.46</v>
      </c>
      <c r="H172" s="2">
        <v>3468.22</v>
      </c>
      <c r="I172" s="2">
        <v>2668.65</v>
      </c>
      <c r="J172" s="2">
        <v>799.57</v>
      </c>
      <c r="K172" s="3">
        <v>45460</v>
      </c>
      <c r="L172" s="3">
        <v>45470</v>
      </c>
      <c r="M172" s="2" t="s">
        <v>21</v>
      </c>
      <c r="N172" s="2">
        <v>3</v>
      </c>
      <c r="O172" s="2" t="s">
        <v>512</v>
      </c>
      <c r="P172" s="25">
        <v>7</v>
      </c>
      <c r="Q172" t="str">
        <f t="shared" si="19"/>
        <v>0171</v>
      </c>
      <c r="R172" t="str">
        <f>IF('RETAIL SALES DATA.'!H172&gt;AVERAGE('RETAIL SALES DATA.'!H172:H1171),"HIGHEST VALUE","LOWEST VALUE")</f>
        <v>LOWEST VALUE</v>
      </c>
      <c r="S172" t="str">
        <f t="shared" si="20"/>
        <v>Profit</v>
      </c>
      <c r="T172" t="str">
        <f t="shared" si="21"/>
        <v>Jennifer Greene</v>
      </c>
      <c r="U172" t="str">
        <f t="shared" si="22"/>
        <v>Keyboard</v>
      </c>
      <c r="V172">
        <f t="shared" si="23"/>
        <v>2024</v>
      </c>
      <c r="W172">
        <f t="shared" si="24"/>
        <v>6</v>
      </c>
      <c r="X172">
        <f t="shared" si="25"/>
        <v>17</v>
      </c>
      <c r="Y172" t="str">
        <f t="shared" si="26"/>
        <v>Jun</v>
      </c>
      <c r="Z172">
        <f t="shared" si="27"/>
        <v>10</v>
      </c>
    </row>
    <row r="173" spans="1:26" ht="15.75" customHeight="1" x14ac:dyDescent="0.3">
      <c r="A173" s="2" t="s">
        <v>513</v>
      </c>
      <c r="B173" s="2" t="s">
        <v>514</v>
      </c>
      <c r="C173" s="2" t="s">
        <v>30</v>
      </c>
      <c r="D173" s="2" t="s">
        <v>31</v>
      </c>
      <c r="E173" s="2" t="s">
        <v>32</v>
      </c>
      <c r="F173" s="2">
        <v>5</v>
      </c>
      <c r="G173" s="2">
        <v>2462.6999999999998</v>
      </c>
      <c r="H173" s="2">
        <v>12313.5</v>
      </c>
      <c r="I173" s="2">
        <v>8013.4</v>
      </c>
      <c r="J173" s="2">
        <v>4300.1000000000004</v>
      </c>
      <c r="K173" s="3">
        <v>45890</v>
      </c>
      <c r="L173" s="3">
        <v>45895</v>
      </c>
      <c r="M173" s="2" t="s">
        <v>38</v>
      </c>
      <c r="N173" s="2">
        <v>3</v>
      </c>
      <c r="O173" s="2" t="s">
        <v>515</v>
      </c>
      <c r="P173" s="25">
        <v>8.6</v>
      </c>
      <c r="Q173" t="str">
        <f t="shared" si="19"/>
        <v>0172</v>
      </c>
      <c r="R173" t="str">
        <f>IF('RETAIL SALES DATA.'!H173&gt;AVERAGE('RETAIL SALES DATA.'!H173:H1172),"HIGHEST VALUE","LOWEST VALUE")</f>
        <v>LOWEST VALUE</v>
      </c>
      <c r="S173" t="str">
        <f t="shared" si="20"/>
        <v>Profit</v>
      </c>
      <c r="T173" t="str">
        <f t="shared" si="21"/>
        <v>John Campbell</v>
      </c>
      <c r="U173" t="str">
        <f t="shared" si="22"/>
        <v>Desk</v>
      </c>
      <c r="V173">
        <f t="shared" si="23"/>
        <v>2025</v>
      </c>
      <c r="W173">
        <f t="shared" si="24"/>
        <v>8</v>
      </c>
      <c r="X173">
        <f t="shared" si="25"/>
        <v>21</v>
      </c>
      <c r="Y173" t="str">
        <f t="shared" si="26"/>
        <v>Aug</v>
      </c>
      <c r="Z173">
        <f t="shared" si="27"/>
        <v>5</v>
      </c>
    </row>
    <row r="174" spans="1:26" ht="15.75" customHeight="1" x14ac:dyDescent="0.3">
      <c r="A174" s="2" t="s">
        <v>516</v>
      </c>
      <c r="B174" s="2" t="s">
        <v>517</v>
      </c>
      <c r="C174" s="2" t="s">
        <v>49</v>
      </c>
      <c r="D174" s="2" t="s">
        <v>43</v>
      </c>
      <c r="E174" s="2" t="s">
        <v>20</v>
      </c>
      <c r="F174" s="2">
        <v>20</v>
      </c>
      <c r="G174" s="2">
        <v>1166.3599999999999</v>
      </c>
      <c r="H174" s="2">
        <v>23327.200000000001</v>
      </c>
      <c r="I174" s="2">
        <v>20281.349999999999</v>
      </c>
      <c r="J174" s="2">
        <v>3045.85</v>
      </c>
      <c r="K174" s="3">
        <v>45738</v>
      </c>
      <c r="L174" s="3">
        <v>45742</v>
      </c>
      <c r="M174" s="2" t="s">
        <v>33</v>
      </c>
      <c r="N174" s="2">
        <v>1</v>
      </c>
      <c r="O174" s="2" t="s">
        <v>460</v>
      </c>
      <c r="P174" s="25">
        <v>9.9</v>
      </c>
      <c r="Q174" t="str">
        <f t="shared" si="19"/>
        <v>0173</v>
      </c>
      <c r="R174" t="str">
        <f>IF('RETAIL SALES DATA.'!H174&gt;AVERAGE('RETAIL SALES DATA.'!H174:H1173),"HIGHEST VALUE","LOWEST VALUE")</f>
        <v>LOWEST VALUE</v>
      </c>
      <c r="S174" t="str">
        <f t="shared" si="20"/>
        <v>Profit</v>
      </c>
      <c r="T174" t="str">
        <f t="shared" si="21"/>
        <v>Mr. Michael Wood</v>
      </c>
      <c r="U174" t="str">
        <f t="shared" si="22"/>
        <v>Mouse</v>
      </c>
      <c r="V174">
        <f t="shared" si="23"/>
        <v>2025</v>
      </c>
      <c r="W174">
        <f t="shared" si="24"/>
        <v>3</v>
      </c>
      <c r="X174">
        <f t="shared" si="25"/>
        <v>22</v>
      </c>
      <c r="Y174" t="str">
        <f t="shared" si="26"/>
        <v>Mar</v>
      </c>
      <c r="Z174">
        <f t="shared" si="27"/>
        <v>4</v>
      </c>
    </row>
    <row r="175" spans="1:26" ht="15.75" customHeight="1" x14ac:dyDescent="0.3">
      <c r="A175" s="2" t="s">
        <v>518</v>
      </c>
      <c r="B175" s="2" t="s">
        <v>519</v>
      </c>
      <c r="C175" s="2" t="s">
        <v>57</v>
      </c>
      <c r="D175" s="2" t="s">
        <v>19</v>
      </c>
      <c r="E175" s="2" t="s">
        <v>32</v>
      </c>
      <c r="F175" s="2">
        <v>6</v>
      </c>
      <c r="G175" s="2">
        <v>1412.32</v>
      </c>
      <c r="H175" s="2">
        <v>8473.92</v>
      </c>
      <c r="I175" s="2">
        <v>7223.93</v>
      </c>
      <c r="J175" s="2">
        <v>1249.99</v>
      </c>
      <c r="K175" s="3">
        <v>45782</v>
      </c>
      <c r="L175" s="3">
        <v>45791</v>
      </c>
      <c r="M175" s="2" t="s">
        <v>58</v>
      </c>
      <c r="N175" s="2">
        <v>1</v>
      </c>
      <c r="O175" s="2" t="s">
        <v>343</v>
      </c>
      <c r="P175" s="25">
        <v>8</v>
      </c>
      <c r="Q175" t="str">
        <f t="shared" si="19"/>
        <v>0174</v>
      </c>
      <c r="R175" t="str">
        <f>IF('RETAIL SALES DATA.'!H175&gt;AVERAGE('RETAIL SALES DATA.'!H175:H1174),"HIGHEST VALUE","LOWEST VALUE")</f>
        <v>LOWEST VALUE</v>
      </c>
      <c r="S175" t="str">
        <f t="shared" si="20"/>
        <v>Profit</v>
      </c>
      <c r="T175" t="str">
        <f t="shared" si="21"/>
        <v>William Ellis</v>
      </c>
      <c r="U175" t="str">
        <f t="shared" si="22"/>
        <v>Notebook</v>
      </c>
      <c r="V175">
        <f t="shared" si="23"/>
        <v>2025</v>
      </c>
      <c r="W175">
        <f t="shared" si="24"/>
        <v>5</v>
      </c>
      <c r="X175">
        <f t="shared" si="25"/>
        <v>5</v>
      </c>
      <c r="Y175" t="str">
        <f t="shared" si="26"/>
        <v>May</v>
      </c>
      <c r="Z175">
        <f t="shared" si="27"/>
        <v>9</v>
      </c>
    </row>
    <row r="176" spans="1:26" ht="15.75" customHeight="1" x14ac:dyDescent="0.3">
      <c r="A176" s="2" t="s">
        <v>520</v>
      </c>
      <c r="B176" s="2" t="s">
        <v>521</v>
      </c>
      <c r="C176" s="2" t="s">
        <v>57</v>
      </c>
      <c r="D176" s="2" t="s">
        <v>19</v>
      </c>
      <c r="E176" s="2" t="s">
        <v>32</v>
      </c>
      <c r="F176" s="2">
        <v>12</v>
      </c>
      <c r="G176" s="2">
        <v>4748.83</v>
      </c>
      <c r="H176" s="2">
        <v>56985.96</v>
      </c>
      <c r="I176" s="2">
        <v>42465.49</v>
      </c>
      <c r="J176" s="2">
        <v>14520.47</v>
      </c>
      <c r="K176" s="3">
        <v>45848</v>
      </c>
      <c r="L176" s="3">
        <v>45854</v>
      </c>
      <c r="M176" s="2" t="s">
        <v>38</v>
      </c>
      <c r="N176" s="2">
        <v>4</v>
      </c>
      <c r="O176" s="2" t="s">
        <v>522</v>
      </c>
      <c r="P176" s="25">
        <v>9.5</v>
      </c>
      <c r="Q176" t="str">
        <f t="shared" si="19"/>
        <v>0175</v>
      </c>
      <c r="R176" t="str">
        <f>IF('RETAIL SALES DATA.'!H176&gt;AVERAGE('RETAIL SALES DATA.'!H176:H1175),"HIGHEST VALUE","LOWEST VALUE")</f>
        <v>HIGHEST VALUE</v>
      </c>
      <c r="S176" t="str">
        <f t="shared" si="20"/>
        <v>Profit</v>
      </c>
      <c r="T176" t="str">
        <f t="shared" si="21"/>
        <v>Kelly Smith</v>
      </c>
      <c r="U176" t="str">
        <f t="shared" si="22"/>
        <v>Notebook</v>
      </c>
      <c r="V176">
        <f t="shared" si="23"/>
        <v>2025</v>
      </c>
      <c r="W176">
        <f t="shared" si="24"/>
        <v>7</v>
      </c>
      <c r="X176">
        <f t="shared" si="25"/>
        <v>10</v>
      </c>
      <c r="Y176" t="str">
        <f t="shared" si="26"/>
        <v>Jul</v>
      </c>
      <c r="Z176">
        <f t="shared" si="27"/>
        <v>6</v>
      </c>
    </row>
    <row r="177" spans="1:26" ht="15.75" customHeight="1" x14ac:dyDescent="0.3">
      <c r="A177" s="2" t="s">
        <v>523</v>
      </c>
      <c r="B177" s="2" t="s">
        <v>524</v>
      </c>
      <c r="C177" s="2" t="s">
        <v>95</v>
      </c>
      <c r="D177" s="2" t="s">
        <v>19</v>
      </c>
      <c r="E177" s="2" t="s">
        <v>25</v>
      </c>
      <c r="F177" s="2">
        <v>8</v>
      </c>
      <c r="G177" s="2">
        <v>2242.67</v>
      </c>
      <c r="H177" s="2">
        <v>17941.36</v>
      </c>
      <c r="I177" s="2">
        <v>15228.59</v>
      </c>
      <c r="J177" s="2">
        <v>2712.77</v>
      </c>
      <c r="K177" s="3">
        <v>45668</v>
      </c>
      <c r="L177" s="3">
        <v>45678</v>
      </c>
      <c r="M177" s="2" t="s">
        <v>181</v>
      </c>
      <c r="N177" s="2">
        <v>1</v>
      </c>
      <c r="O177" s="2" t="s">
        <v>525</v>
      </c>
      <c r="P177" s="25">
        <v>8.3000000000000007</v>
      </c>
      <c r="Q177" t="str">
        <f t="shared" si="19"/>
        <v>0176</v>
      </c>
      <c r="R177" t="str">
        <f>IF('RETAIL SALES DATA.'!H177&gt;AVERAGE('RETAIL SALES DATA.'!H177:H1176),"HIGHEST VALUE","LOWEST VALUE")</f>
        <v>LOWEST VALUE</v>
      </c>
      <c r="S177" t="str">
        <f t="shared" si="20"/>
        <v>Profit</v>
      </c>
      <c r="T177" t="str">
        <f t="shared" si="21"/>
        <v>Jaime Bell</v>
      </c>
      <c r="U177" t="str">
        <f t="shared" si="22"/>
        <v>Printer</v>
      </c>
      <c r="V177">
        <f t="shared" si="23"/>
        <v>2025</v>
      </c>
      <c r="W177">
        <f t="shared" si="24"/>
        <v>1</v>
      </c>
      <c r="X177">
        <f t="shared" si="25"/>
        <v>11</v>
      </c>
      <c r="Y177" t="str">
        <f t="shared" si="26"/>
        <v>Jan</v>
      </c>
      <c r="Z177">
        <f t="shared" si="27"/>
        <v>10</v>
      </c>
    </row>
    <row r="178" spans="1:26" ht="15.75" customHeight="1" x14ac:dyDescent="0.3">
      <c r="A178" s="2" t="s">
        <v>526</v>
      </c>
      <c r="B178" s="2" t="s">
        <v>527</v>
      </c>
      <c r="C178" s="2" t="s">
        <v>37</v>
      </c>
      <c r="D178" s="2" t="s">
        <v>19</v>
      </c>
      <c r="E178" s="2" t="s">
        <v>20</v>
      </c>
      <c r="F178" s="2">
        <v>6</v>
      </c>
      <c r="G178" s="2">
        <v>3071.47</v>
      </c>
      <c r="H178" s="2">
        <v>18428.82</v>
      </c>
      <c r="I178" s="2">
        <v>11524.54</v>
      </c>
      <c r="J178" s="2">
        <v>6904.28</v>
      </c>
      <c r="K178" s="3">
        <v>45531</v>
      </c>
      <c r="L178" s="3">
        <v>45536</v>
      </c>
      <c r="M178" s="2" t="s">
        <v>123</v>
      </c>
      <c r="N178" s="2">
        <v>5</v>
      </c>
      <c r="O178" s="2" t="s">
        <v>79</v>
      </c>
      <c r="P178" s="25">
        <v>7.1</v>
      </c>
      <c r="Q178" t="str">
        <f t="shared" si="19"/>
        <v>0177</v>
      </c>
      <c r="R178" t="str">
        <f>IF('RETAIL SALES DATA.'!H178&gt;AVERAGE('RETAIL SALES DATA.'!H178:H1177),"HIGHEST VALUE","LOWEST VALUE")</f>
        <v>LOWEST VALUE</v>
      </c>
      <c r="S178" t="str">
        <f t="shared" si="20"/>
        <v>Profit</v>
      </c>
      <c r="T178" t="str">
        <f t="shared" si="21"/>
        <v>Victoria Williams</v>
      </c>
      <c r="U178" t="str">
        <f t="shared" si="22"/>
        <v>Marker</v>
      </c>
      <c r="V178">
        <f t="shared" si="23"/>
        <v>2024</v>
      </c>
      <c r="W178">
        <f t="shared" si="24"/>
        <v>9</v>
      </c>
      <c r="X178">
        <f t="shared" si="25"/>
        <v>27</v>
      </c>
      <c r="Y178" t="str">
        <f t="shared" si="26"/>
        <v>Aug</v>
      </c>
      <c r="Z178">
        <f t="shared" si="27"/>
        <v>5</v>
      </c>
    </row>
    <row r="179" spans="1:26" ht="15.75" customHeight="1" x14ac:dyDescent="0.3">
      <c r="A179" s="2" t="s">
        <v>528</v>
      </c>
      <c r="B179" s="2" t="s">
        <v>529</v>
      </c>
      <c r="C179" s="2" t="s">
        <v>88</v>
      </c>
      <c r="D179" s="2" t="s">
        <v>31</v>
      </c>
      <c r="E179" s="2" t="s">
        <v>44</v>
      </c>
      <c r="F179" s="2">
        <v>12</v>
      </c>
      <c r="G179" s="2">
        <v>2542.91</v>
      </c>
      <c r="H179" s="2">
        <v>30514.92</v>
      </c>
      <c r="I179" s="2">
        <v>22028.66</v>
      </c>
      <c r="J179" s="2">
        <v>8486.26</v>
      </c>
      <c r="K179" s="3">
        <v>46118</v>
      </c>
      <c r="L179" s="3">
        <v>46121</v>
      </c>
      <c r="M179" s="2" t="s">
        <v>45</v>
      </c>
      <c r="N179" s="2">
        <v>5</v>
      </c>
      <c r="O179" s="2" t="s">
        <v>530</v>
      </c>
      <c r="P179" s="25">
        <v>6.1</v>
      </c>
      <c r="Q179" t="str">
        <f t="shared" si="19"/>
        <v>0178</v>
      </c>
      <c r="R179" t="str">
        <f>IF('RETAIL SALES DATA.'!H179&gt;AVERAGE('RETAIL SALES DATA.'!H179:H1178),"HIGHEST VALUE","LOWEST VALUE")</f>
        <v>HIGHEST VALUE</v>
      </c>
      <c r="S179" t="str">
        <f t="shared" si="20"/>
        <v>Profit</v>
      </c>
      <c r="T179" t="str">
        <f t="shared" si="21"/>
        <v>Bradley Hale</v>
      </c>
      <c r="U179" t="str">
        <f t="shared" si="22"/>
        <v>Cupboard</v>
      </c>
      <c r="V179">
        <f t="shared" si="23"/>
        <v>2026</v>
      </c>
      <c r="W179">
        <f t="shared" si="24"/>
        <v>4</v>
      </c>
      <c r="X179">
        <f t="shared" si="25"/>
        <v>6</v>
      </c>
      <c r="Y179" t="str">
        <f t="shared" si="26"/>
        <v>Apr</v>
      </c>
      <c r="Z179">
        <f t="shared" si="27"/>
        <v>3</v>
      </c>
    </row>
    <row r="180" spans="1:26" ht="15.75" customHeight="1" x14ac:dyDescent="0.3">
      <c r="A180" s="2" t="s">
        <v>531</v>
      </c>
      <c r="B180" s="2" t="s">
        <v>532</v>
      </c>
      <c r="C180" s="2" t="s">
        <v>57</v>
      </c>
      <c r="D180" s="2" t="s">
        <v>19</v>
      </c>
      <c r="E180" s="2" t="s">
        <v>32</v>
      </c>
      <c r="F180" s="2">
        <v>4</v>
      </c>
      <c r="G180" s="2">
        <v>2129.94</v>
      </c>
      <c r="H180" s="2">
        <v>8519.76</v>
      </c>
      <c r="I180" s="2">
        <v>4376.09</v>
      </c>
      <c r="J180" s="2">
        <v>4143.67</v>
      </c>
      <c r="K180" s="3">
        <v>45644</v>
      </c>
      <c r="L180" s="3">
        <v>45648</v>
      </c>
      <c r="M180" s="2" t="s">
        <v>38</v>
      </c>
      <c r="N180" s="2">
        <v>2</v>
      </c>
      <c r="O180" s="2" t="s">
        <v>533</v>
      </c>
      <c r="P180" s="25">
        <v>7.5</v>
      </c>
      <c r="Q180" t="str">
        <f t="shared" si="19"/>
        <v>0179</v>
      </c>
      <c r="R180" t="str">
        <f>IF('RETAIL SALES DATA.'!H180&gt;AVERAGE('RETAIL SALES DATA.'!H180:H1179),"HIGHEST VALUE","LOWEST VALUE")</f>
        <v>LOWEST VALUE</v>
      </c>
      <c r="S180" t="str">
        <f t="shared" si="20"/>
        <v>Profit</v>
      </c>
      <c r="T180" t="str">
        <f t="shared" si="21"/>
        <v>Mr. Anthony Cunningham</v>
      </c>
      <c r="U180" t="str">
        <f t="shared" si="22"/>
        <v>Notebook</v>
      </c>
      <c r="V180">
        <f t="shared" si="23"/>
        <v>2024</v>
      </c>
      <c r="W180">
        <f t="shared" si="24"/>
        <v>12</v>
      </c>
      <c r="X180">
        <f t="shared" si="25"/>
        <v>18</v>
      </c>
      <c r="Y180" t="str">
        <f t="shared" si="26"/>
        <v>Dec</v>
      </c>
      <c r="Z180">
        <f t="shared" si="27"/>
        <v>4</v>
      </c>
    </row>
    <row r="181" spans="1:26" ht="15.75" customHeight="1" x14ac:dyDescent="0.3">
      <c r="A181" s="2" t="s">
        <v>534</v>
      </c>
      <c r="B181" s="2" t="s">
        <v>535</v>
      </c>
      <c r="C181" s="2" t="s">
        <v>30</v>
      </c>
      <c r="D181" s="2" t="s">
        <v>31</v>
      </c>
      <c r="E181" s="2" t="s">
        <v>25</v>
      </c>
      <c r="F181" s="2">
        <v>19</v>
      </c>
      <c r="G181" s="2">
        <v>716.81</v>
      </c>
      <c r="H181" s="2">
        <v>13619.39</v>
      </c>
      <c r="I181" s="2">
        <v>8844.23</v>
      </c>
      <c r="J181" s="2">
        <v>4775.16</v>
      </c>
      <c r="K181" s="3">
        <v>45516</v>
      </c>
      <c r="L181" s="3">
        <v>45522</v>
      </c>
      <c r="M181" s="2" t="s">
        <v>50</v>
      </c>
      <c r="N181" s="2">
        <v>5</v>
      </c>
      <c r="O181" s="2" t="s">
        <v>162</v>
      </c>
      <c r="P181" s="25">
        <v>6.5</v>
      </c>
      <c r="Q181" t="str">
        <f t="shared" si="19"/>
        <v>0180</v>
      </c>
      <c r="R181" t="str">
        <f>IF('RETAIL SALES DATA.'!H181&gt;AVERAGE('RETAIL SALES DATA.'!H181:H1180),"HIGHEST VALUE","LOWEST VALUE")</f>
        <v>LOWEST VALUE</v>
      </c>
      <c r="S181" t="str">
        <f t="shared" si="20"/>
        <v>Profit</v>
      </c>
      <c r="T181" t="str">
        <f t="shared" si="21"/>
        <v>Mark Ingram</v>
      </c>
      <c r="U181" t="str">
        <f t="shared" si="22"/>
        <v>Desk</v>
      </c>
      <c r="V181">
        <f t="shared" si="23"/>
        <v>2024</v>
      </c>
      <c r="W181">
        <f t="shared" si="24"/>
        <v>8</v>
      </c>
      <c r="X181">
        <f t="shared" si="25"/>
        <v>12</v>
      </c>
      <c r="Y181" t="str">
        <f t="shared" si="26"/>
        <v>Aug</v>
      </c>
      <c r="Z181">
        <f t="shared" si="27"/>
        <v>6</v>
      </c>
    </row>
    <row r="182" spans="1:26" ht="15.75" customHeight="1" x14ac:dyDescent="0.3">
      <c r="A182" s="2" t="s">
        <v>536</v>
      </c>
      <c r="B182" s="2" t="s">
        <v>537</v>
      </c>
      <c r="C182" s="2" t="s">
        <v>168</v>
      </c>
      <c r="D182" s="2" t="s">
        <v>43</v>
      </c>
      <c r="E182" s="2" t="s">
        <v>25</v>
      </c>
      <c r="F182" s="2">
        <v>1</v>
      </c>
      <c r="G182" s="2">
        <v>3251.45</v>
      </c>
      <c r="H182" s="2">
        <v>3251.45</v>
      </c>
      <c r="I182" s="2">
        <v>2282.02</v>
      </c>
      <c r="J182" s="2">
        <v>969.43</v>
      </c>
      <c r="K182" s="3">
        <v>45912</v>
      </c>
      <c r="L182" s="3">
        <v>45916</v>
      </c>
      <c r="M182" s="2" t="s">
        <v>50</v>
      </c>
      <c r="N182" s="2">
        <v>4</v>
      </c>
      <c r="O182" s="2" t="s">
        <v>538</v>
      </c>
      <c r="P182" s="25">
        <v>8.9</v>
      </c>
      <c r="Q182" t="str">
        <f t="shared" si="19"/>
        <v>0181</v>
      </c>
      <c r="R182" t="str">
        <f>IF('RETAIL SALES DATA.'!H182&gt;AVERAGE('RETAIL SALES DATA.'!H182:H1181),"HIGHEST VALUE","LOWEST VALUE")</f>
        <v>LOWEST VALUE</v>
      </c>
      <c r="S182" t="str">
        <f t="shared" si="20"/>
        <v>Profit</v>
      </c>
      <c r="T182" t="str">
        <f t="shared" si="21"/>
        <v>Jose Green</v>
      </c>
      <c r="U182" t="str">
        <f t="shared" si="22"/>
        <v>Keyboard</v>
      </c>
      <c r="V182">
        <f t="shared" si="23"/>
        <v>2025</v>
      </c>
      <c r="W182">
        <f t="shared" si="24"/>
        <v>9</v>
      </c>
      <c r="X182">
        <f t="shared" si="25"/>
        <v>12</v>
      </c>
      <c r="Y182" t="str">
        <f t="shared" si="26"/>
        <v>Sep</v>
      </c>
      <c r="Z182">
        <f t="shared" si="27"/>
        <v>4</v>
      </c>
    </row>
    <row r="183" spans="1:26" ht="15.75" customHeight="1" x14ac:dyDescent="0.3">
      <c r="A183" s="2" t="s">
        <v>539</v>
      </c>
      <c r="B183" s="2" t="s">
        <v>540</v>
      </c>
      <c r="C183" s="2" t="s">
        <v>30</v>
      </c>
      <c r="D183" s="2" t="s">
        <v>31</v>
      </c>
      <c r="E183" s="2" t="s">
        <v>32</v>
      </c>
      <c r="F183" s="2">
        <v>15</v>
      </c>
      <c r="G183" s="2">
        <v>1750.93</v>
      </c>
      <c r="H183" s="2">
        <v>26263.95</v>
      </c>
      <c r="I183" s="2">
        <v>14170.81</v>
      </c>
      <c r="J183" s="2">
        <v>12093.14</v>
      </c>
      <c r="K183" s="3">
        <v>45712</v>
      </c>
      <c r="L183" s="3">
        <v>45719</v>
      </c>
      <c r="M183" s="2" t="s">
        <v>181</v>
      </c>
      <c r="N183" s="2">
        <v>1</v>
      </c>
      <c r="O183" s="2" t="s">
        <v>541</v>
      </c>
      <c r="P183" s="25">
        <v>9.9</v>
      </c>
      <c r="Q183" t="str">
        <f t="shared" si="19"/>
        <v>0182</v>
      </c>
      <c r="R183" t="str">
        <f>IF('RETAIL SALES DATA.'!H183&gt;AVERAGE('RETAIL SALES DATA.'!H183:H1182),"HIGHEST VALUE","LOWEST VALUE")</f>
        <v>HIGHEST VALUE</v>
      </c>
      <c r="S183" t="str">
        <f t="shared" si="20"/>
        <v>Profit</v>
      </c>
      <c r="T183" t="str">
        <f t="shared" si="21"/>
        <v>Craig Garcia</v>
      </c>
      <c r="U183" t="str">
        <f t="shared" si="22"/>
        <v>Desk</v>
      </c>
      <c r="V183">
        <f t="shared" si="23"/>
        <v>2025</v>
      </c>
      <c r="W183">
        <f t="shared" si="24"/>
        <v>3</v>
      </c>
      <c r="X183">
        <f t="shared" si="25"/>
        <v>24</v>
      </c>
      <c r="Y183" t="str">
        <f t="shared" si="26"/>
        <v>Feb</v>
      </c>
      <c r="Z183">
        <f t="shared" si="27"/>
        <v>7</v>
      </c>
    </row>
    <row r="184" spans="1:26" ht="15.75" customHeight="1" x14ac:dyDescent="0.3">
      <c r="A184" s="2" t="s">
        <v>542</v>
      </c>
      <c r="B184" s="2" t="s">
        <v>543</v>
      </c>
      <c r="C184" s="2" t="s">
        <v>95</v>
      </c>
      <c r="D184" s="2" t="s">
        <v>19</v>
      </c>
      <c r="E184" s="2" t="s">
        <v>20</v>
      </c>
      <c r="F184" s="2">
        <v>10</v>
      </c>
      <c r="G184" s="2">
        <v>1184.72</v>
      </c>
      <c r="H184" s="2">
        <v>11847.2</v>
      </c>
      <c r="I184" s="2">
        <v>7487.62</v>
      </c>
      <c r="J184" s="2">
        <v>4359.58</v>
      </c>
      <c r="K184" s="3">
        <v>45921</v>
      </c>
      <c r="L184" s="3">
        <v>45922</v>
      </c>
      <c r="M184" s="2" t="s">
        <v>38</v>
      </c>
      <c r="N184" s="2">
        <v>2</v>
      </c>
      <c r="O184" s="2" t="s">
        <v>300</v>
      </c>
      <c r="P184" s="25">
        <v>8.3000000000000007</v>
      </c>
      <c r="Q184" t="str">
        <f t="shared" si="19"/>
        <v>0183</v>
      </c>
      <c r="R184" t="str">
        <f>IF('RETAIL SALES DATA.'!H184&gt;AVERAGE('RETAIL SALES DATA.'!H184:H1183),"HIGHEST VALUE","LOWEST VALUE")</f>
        <v>LOWEST VALUE</v>
      </c>
      <c r="S184" t="str">
        <f t="shared" si="20"/>
        <v>Profit</v>
      </c>
      <c r="T184" t="str">
        <f t="shared" si="21"/>
        <v>Tamara Love</v>
      </c>
      <c r="U184" t="str">
        <f t="shared" si="22"/>
        <v>Printer</v>
      </c>
      <c r="V184">
        <f t="shared" si="23"/>
        <v>2025</v>
      </c>
      <c r="W184">
        <f t="shared" si="24"/>
        <v>9</v>
      </c>
      <c r="X184">
        <f t="shared" si="25"/>
        <v>21</v>
      </c>
      <c r="Y184" t="str">
        <f t="shared" si="26"/>
        <v>Sep</v>
      </c>
      <c r="Z184">
        <f t="shared" si="27"/>
        <v>1</v>
      </c>
    </row>
    <row r="185" spans="1:26" ht="15.75" customHeight="1" x14ac:dyDescent="0.3">
      <c r="A185" s="2" t="s">
        <v>544</v>
      </c>
      <c r="B185" s="2" t="s">
        <v>545</v>
      </c>
      <c r="C185" s="2" t="s">
        <v>95</v>
      </c>
      <c r="D185" s="2" t="s">
        <v>19</v>
      </c>
      <c r="E185" s="2" t="s">
        <v>25</v>
      </c>
      <c r="F185" s="2">
        <v>17</v>
      </c>
      <c r="G185" s="2">
        <v>2083.7800000000002</v>
      </c>
      <c r="H185" s="2">
        <v>35424.26</v>
      </c>
      <c r="I185" s="2">
        <v>27281.599999999999</v>
      </c>
      <c r="J185" s="2">
        <v>8142.66</v>
      </c>
      <c r="K185" s="3">
        <v>45597</v>
      </c>
      <c r="L185" s="3">
        <v>45600</v>
      </c>
      <c r="M185" s="2" t="s">
        <v>123</v>
      </c>
      <c r="N185" s="2">
        <v>5</v>
      </c>
      <c r="O185" s="2" t="s">
        <v>108</v>
      </c>
      <c r="P185" s="25">
        <v>9.5</v>
      </c>
      <c r="Q185" t="str">
        <f t="shared" si="19"/>
        <v>0184</v>
      </c>
      <c r="R185" t="str">
        <f>IF('RETAIL SALES DATA.'!H185&gt;AVERAGE('RETAIL SALES DATA.'!H185:H1184),"HIGHEST VALUE","LOWEST VALUE")</f>
        <v>HIGHEST VALUE</v>
      </c>
      <c r="S185" t="str">
        <f t="shared" si="20"/>
        <v>Profit</v>
      </c>
      <c r="T185" t="str">
        <f t="shared" si="21"/>
        <v>Julie Dodson</v>
      </c>
      <c r="U185" t="str">
        <f t="shared" si="22"/>
        <v>Printer</v>
      </c>
      <c r="V185">
        <f t="shared" si="23"/>
        <v>2024</v>
      </c>
      <c r="W185">
        <f t="shared" si="24"/>
        <v>11</v>
      </c>
      <c r="X185">
        <f t="shared" si="25"/>
        <v>1</v>
      </c>
      <c r="Y185" t="str">
        <f t="shared" si="26"/>
        <v>Nov</v>
      </c>
      <c r="Z185">
        <f t="shared" si="27"/>
        <v>3</v>
      </c>
    </row>
    <row r="186" spans="1:26" ht="15.75" customHeight="1" x14ac:dyDescent="0.3">
      <c r="A186" s="2" t="s">
        <v>546</v>
      </c>
      <c r="B186" s="2" t="s">
        <v>547</v>
      </c>
      <c r="C186" s="2" t="s">
        <v>144</v>
      </c>
      <c r="D186" s="2" t="s">
        <v>19</v>
      </c>
      <c r="E186" s="2" t="s">
        <v>32</v>
      </c>
      <c r="F186" s="2">
        <v>9</v>
      </c>
      <c r="G186" s="2">
        <v>313.17</v>
      </c>
      <c r="H186" s="2">
        <v>2818.53</v>
      </c>
      <c r="I186" s="2">
        <v>1538.57</v>
      </c>
      <c r="J186" s="2">
        <v>1279.96</v>
      </c>
      <c r="K186" s="3">
        <v>46157</v>
      </c>
      <c r="L186" s="3">
        <v>46167</v>
      </c>
      <c r="M186" s="2" t="s">
        <v>26</v>
      </c>
      <c r="N186" s="2">
        <v>4</v>
      </c>
      <c r="O186" s="2" t="s">
        <v>548</v>
      </c>
      <c r="P186" s="25">
        <v>9.1</v>
      </c>
      <c r="Q186" t="str">
        <f t="shared" si="19"/>
        <v>0185</v>
      </c>
      <c r="R186" t="str">
        <f>IF('RETAIL SALES DATA.'!H186&gt;AVERAGE('RETAIL SALES DATA.'!H186:H1185),"HIGHEST VALUE","LOWEST VALUE")</f>
        <v>LOWEST VALUE</v>
      </c>
      <c r="S186" t="str">
        <f t="shared" si="20"/>
        <v>Profit</v>
      </c>
      <c r="T186" t="str">
        <f t="shared" si="21"/>
        <v>Annette Ponce</v>
      </c>
      <c r="U186" t="str">
        <f t="shared" si="22"/>
        <v>File</v>
      </c>
      <c r="V186">
        <f t="shared" si="23"/>
        <v>2026</v>
      </c>
      <c r="W186">
        <f t="shared" si="24"/>
        <v>5</v>
      </c>
      <c r="X186">
        <f t="shared" si="25"/>
        <v>15</v>
      </c>
      <c r="Y186" t="str">
        <f t="shared" si="26"/>
        <v>May</v>
      </c>
      <c r="Z186">
        <f t="shared" si="27"/>
        <v>10</v>
      </c>
    </row>
    <row r="187" spans="1:26" ht="15.75" customHeight="1" x14ac:dyDescent="0.3">
      <c r="A187" s="2" t="s">
        <v>549</v>
      </c>
      <c r="B187" s="2" t="s">
        <v>550</v>
      </c>
      <c r="C187" s="2" t="s">
        <v>62</v>
      </c>
      <c r="D187" s="2" t="s">
        <v>31</v>
      </c>
      <c r="E187" s="2" t="s">
        <v>20</v>
      </c>
      <c r="F187" s="2">
        <v>2</v>
      </c>
      <c r="G187" s="2">
        <v>3177.77</v>
      </c>
      <c r="H187" s="2">
        <v>6355.54</v>
      </c>
      <c r="I187" s="2">
        <v>3370.15</v>
      </c>
      <c r="J187" s="2">
        <v>2985.39</v>
      </c>
      <c r="K187" s="3">
        <v>45837</v>
      </c>
      <c r="L187" s="3">
        <v>45844</v>
      </c>
      <c r="M187" s="2" t="s">
        <v>50</v>
      </c>
      <c r="N187" s="2">
        <v>1</v>
      </c>
      <c r="O187" s="2" t="s">
        <v>551</v>
      </c>
      <c r="P187" s="25">
        <v>6.2</v>
      </c>
      <c r="Q187" t="str">
        <f t="shared" si="19"/>
        <v>0186</v>
      </c>
      <c r="R187" t="str">
        <f>IF('RETAIL SALES DATA.'!H187&gt;AVERAGE('RETAIL SALES DATA.'!H187:H1186),"HIGHEST VALUE","LOWEST VALUE")</f>
        <v>LOWEST VALUE</v>
      </c>
      <c r="S187" t="str">
        <f t="shared" si="20"/>
        <v>Profit</v>
      </c>
      <c r="T187" t="str">
        <f t="shared" si="21"/>
        <v>Shirley May</v>
      </c>
      <c r="U187" t="str">
        <f t="shared" si="22"/>
        <v>Table</v>
      </c>
      <c r="V187">
        <f t="shared" si="23"/>
        <v>2025</v>
      </c>
      <c r="W187">
        <f t="shared" si="24"/>
        <v>7</v>
      </c>
      <c r="X187">
        <f t="shared" si="25"/>
        <v>29</v>
      </c>
      <c r="Y187" t="str">
        <f t="shared" si="26"/>
        <v>Jun</v>
      </c>
      <c r="Z187">
        <f t="shared" si="27"/>
        <v>7</v>
      </c>
    </row>
    <row r="188" spans="1:26" ht="15.75" customHeight="1" x14ac:dyDescent="0.3">
      <c r="A188" s="2" t="s">
        <v>552</v>
      </c>
      <c r="B188" s="2" t="s">
        <v>553</v>
      </c>
      <c r="C188" s="2" t="s">
        <v>37</v>
      </c>
      <c r="D188" s="2" t="s">
        <v>19</v>
      </c>
      <c r="E188" s="2" t="s">
        <v>32</v>
      </c>
      <c r="F188" s="2">
        <v>10</v>
      </c>
      <c r="G188" s="2">
        <v>544.73</v>
      </c>
      <c r="H188" s="2">
        <v>5447.3</v>
      </c>
      <c r="I188" s="2">
        <v>4891.5600000000004</v>
      </c>
      <c r="J188" s="2">
        <v>555.74</v>
      </c>
      <c r="K188" s="3">
        <v>45713</v>
      </c>
      <c r="L188" s="3">
        <v>45723</v>
      </c>
      <c r="M188" s="2" t="s">
        <v>69</v>
      </c>
      <c r="N188" s="2">
        <v>4</v>
      </c>
      <c r="O188" s="2" t="s">
        <v>554</v>
      </c>
      <c r="P188" s="25">
        <v>6.6</v>
      </c>
      <c r="Q188" t="str">
        <f t="shared" si="19"/>
        <v>0187</v>
      </c>
      <c r="R188" t="str">
        <f>IF('RETAIL SALES DATA.'!H188&gt;AVERAGE('RETAIL SALES DATA.'!H188:H1187),"HIGHEST VALUE","LOWEST VALUE")</f>
        <v>LOWEST VALUE</v>
      </c>
      <c r="S188" t="str">
        <f t="shared" si="20"/>
        <v>Profit</v>
      </c>
      <c r="T188" t="str">
        <f t="shared" si="21"/>
        <v>Samuel Baker</v>
      </c>
      <c r="U188" t="str">
        <f t="shared" si="22"/>
        <v>Marker</v>
      </c>
      <c r="V188">
        <f t="shared" si="23"/>
        <v>2025</v>
      </c>
      <c r="W188">
        <f t="shared" si="24"/>
        <v>3</v>
      </c>
      <c r="X188">
        <f t="shared" si="25"/>
        <v>25</v>
      </c>
      <c r="Y188" t="str">
        <f t="shared" si="26"/>
        <v>Feb</v>
      </c>
      <c r="Z188">
        <f t="shared" si="27"/>
        <v>10</v>
      </c>
    </row>
    <row r="189" spans="1:26" ht="15.75" customHeight="1" x14ac:dyDescent="0.3">
      <c r="A189" s="2" t="s">
        <v>555</v>
      </c>
      <c r="B189" s="2" t="s">
        <v>556</v>
      </c>
      <c r="C189" s="2" t="s">
        <v>18</v>
      </c>
      <c r="D189" s="2" t="s">
        <v>19</v>
      </c>
      <c r="E189" s="2" t="s">
        <v>32</v>
      </c>
      <c r="F189" s="2">
        <v>14</v>
      </c>
      <c r="G189" s="2">
        <v>3041.69</v>
      </c>
      <c r="H189" s="2">
        <v>42583.66</v>
      </c>
      <c r="I189" s="2">
        <v>26297.69</v>
      </c>
      <c r="J189" s="2">
        <v>16285.97</v>
      </c>
      <c r="K189" s="3">
        <v>46024</v>
      </c>
      <c r="L189" s="3">
        <v>46030</v>
      </c>
      <c r="M189" s="2" t="s">
        <v>181</v>
      </c>
      <c r="N189" s="2">
        <v>5</v>
      </c>
      <c r="O189" s="2" t="s">
        <v>557</v>
      </c>
      <c r="P189" s="25">
        <v>9.1</v>
      </c>
      <c r="Q189" t="str">
        <f t="shared" si="19"/>
        <v>0188</v>
      </c>
      <c r="R189" t="str">
        <f>IF('RETAIL SALES DATA.'!H189&gt;AVERAGE('RETAIL SALES DATA.'!H189:H1188),"HIGHEST VALUE","LOWEST VALUE")</f>
        <v>HIGHEST VALUE</v>
      </c>
      <c r="S189" t="str">
        <f t="shared" si="20"/>
        <v>Profit</v>
      </c>
      <c r="T189" t="str">
        <f t="shared" si="21"/>
        <v>Andrea Lee</v>
      </c>
      <c r="U189" t="str">
        <f t="shared" si="22"/>
        <v>Pen</v>
      </c>
      <c r="V189">
        <f t="shared" si="23"/>
        <v>2026</v>
      </c>
      <c r="W189">
        <f t="shared" si="24"/>
        <v>1</v>
      </c>
      <c r="X189">
        <f t="shared" si="25"/>
        <v>2</v>
      </c>
      <c r="Y189" t="str">
        <f t="shared" si="26"/>
        <v>Jan</v>
      </c>
      <c r="Z189">
        <f t="shared" si="27"/>
        <v>6</v>
      </c>
    </row>
    <row r="190" spans="1:26" ht="15.75" customHeight="1" x14ac:dyDescent="0.3">
      <c r="A190" s="2" t="s">
        <v>558</v>
      </c>
      <c r="B190" s="2" t="s">
        <v>559</v>
      </c>
      <c r="C190" s="2" t="s">
        <v>42</v>
      </c>
      <c r="D190" s="2" t="s">
        <v>43</v>
      </c>
      <c r="E190" s="2" t="s">
        <v>25</v>
      </c>
      <c r="F190" s="2">
        <v>7</v>
      </c>
      <c r="G190" s="2">
        <v>929.56</v>
      </c>
      <c r="H190" s="2">
        <v>6506.92</v>
      </c>
      <c r="I190" s="2">
        <v>5281.16</v>
      </c>
      <c r="J190" s="2">
        <v>1225.76</v>
      </c>
      <c r="K190" s="3">
        <v>45755</v>
      </c>
      <c r="L190" s="3">
        <v>45758</v>
      </c>
      <c r="M190" s="2" t="s">
        <v>26</v>
      </c>
      <c r="N190" s="2">
        <v>4</v>
      </c>
      <c r="O190" s="2" t="s">
        <v>560</v>
      </c>
      <c r="P190" s="25">
        <v>8.9</v>
      </c>
      <c r="Q190" t="str">
        <f t="shared" si="19"/>
        <v>0189</v>
      </c>
      <c r="R190" t="str">
        <f>IF('RETAIL SALES DATA.'!H190&gt;AVERAGE('RETAIL SALES DATA.'!H190:H1189),"HIGHEST VALUE","LOWEST VALUE")</f>
        <v>LOWEST VALUE</v>
      </c>
      <c r="S190" t="str">
        <f t="shared" si="20"/>
        <v>Profit</v>
      </c>
      <c r="T190" t="str">
        <f t="shared" si="21"/>
        <v>Russell Ramirez</v>
      </c>
      <c r="U190" t="str">
        <f t="shared" si="22"/>
        <v>Laptop</v>
      </c>
      <c r="V190">
        <f t="shared" si="23"/>
        <v>2025</v>
      </c>
      <c r="W190">
        <f t="shared" si="24"/>
        <v>4</v>
      </c>
      <c r="X190">
        <f t="shared" si="25"/>
        <v>8</v>
      </c>
      <c r="Y190" t="str">
        <f t="shared" si="26"/>
        <v>Apr</v>
      </c>
      <c r="Z190">
        <f t="shared" si="27"/>
        <v>3</v>
      </c>
    </row>
    <row r="191" spans="1:26" ht="15.75" customHeight="1" x14ac:dyDescent="0.3">
      <c r="A191" s="2" t="s">
        <v>561</v>
      </c>
      <c r="B191" s="2" t="s">
        <v>562</v>
      </c>
      <c r="C191" s="2" t="s">
        <v>95</v>
      </c>
      <c r="D191" s="2" t="s">
        <v>19</v>
      </c>
      <c r="E191" s="2" t="s">
        <v>44</v>
      </c>
      <c r="F191" s="2">
        <v>15</v>
      </c>
      <c r="G191" s="2">
        <v>2987.05</v>
      </c>
      <c r="H191" s="2">
        <v>44805.75</v>
      </c>
      <c r="I191" s="2">
        <v>28649.31</v>
      </c>
      <c r="J191" s="2">
        <v>16156.44</v>
      </c>
      <c r="K191" s="3">
        <v>45737</v>
      </c>
      <c r="L191" s="3">
        <v>45743</v>
      </c>
      <c r="M191" s="2" t="s">
        <v>50</v>
      </c>
      <c r="N191" s="2">
        <v>1</v>
      </c>
      <c r="O191" s="2" t="s">
        <v>235</v>
      </c>
      <c r="P191" s="25">
        <v>9.6999999999999993</v>
      </c>
      <c r="Q191" t="str">
        <f t="shared" si="19"/>
        <v>0190</v>
      </c>
      <c r="R191" t="str">
        <f>IF('RETAIL SALES DATA.'!H191&gt;AVERAGE('RETAIL SALES DATA.'!H191:H1190),"HIGHEST VALUE","LOWEST VALUE")</f>
        <v>HIGHEST VALUE</v>
      </c>
      <c r="S191" t="str">
        <f t="shared" si="20"/>
        <v>Profit</v>
      </c>
      <c r="T191" t="str">
        <f t="shared" si="21"/>
        <v>Gary Weber</v>
      </c>
      <c r="U191" t="str">
        <f t="shared" si="22"/>
        <v>Printer</v>
      </c>
      <c r="V191">
        <f t="shared" si="23"/>
        <v>2025</v>
      </c>
      <c r="W191">
        <f t="shared" si="24"/>
        <v>3</v>
      </c>
      <c r="X191">
        <f t="shared" si="25"/>
        <v>21</v>
      </c>
      <c r="Y191" t="str">
        <f t="shared" si="26"/>
        <v>Mar</v>
      </c>
      <c r="Z191">
        <f t="shared" si="27"/>
        <v>6</v>
      </c>
    </row>
    <row r="192" spans="1:26" ht="15.75" customHeight="1" x14ac:dyDescent="0.3">
      <c r="A192" s="2" t="s">
        <v>563</v>
      </c>
      <c r="B192" s="2" t="s">
        <v>564</v>
      </c>
      <c r="C192" s="2" t="s">
        <v>30</v>
      </c>
      <c r="D192" s="2" t="s">
        <v>31</v>
      </c>
      <c r="E192" s="2" t="s">
        <v>20</v>
      </c>
      <c r="F192" s="2">
        <v>6</v>
      </c>
      <c r="G192" s="2">
        <v>3781.92</v>
      </c>
      <c r="H192" s="2">
        <v>22691.52</v>
      </c>
      <c r="I192" s="2">
        <v>19915.09</v>
      </c>
      <c r="J192" s="2">
        <v>2776.43</v>
      </c>
      <c r="K192" s="3">
        <v>45617</v>
      </c>
      <c r="L192" s="3">
        <v>45626</v>
      </c>
      <c r="M192" s="2" t="s">
        <v>45</v>
      </c>
      <c r="N192" s="2">
        <v>3</v>
      </c>
      <c r="O192" s="2" t="s">
        <v>409</v>
      </c>
      <c r="P192" s="25">
        <v>7.5</v>
      </c>
      <c r="Q192" t="str">
        <f t="shared" si="19"/>
        <v>0191</v>
      </c>
      <c r="R192" t="str">
        <f>IF('RETAIL SALES DATA.'!H192&gt;AVERAGE('RETAIL SALES DATA.'!H192:H1191),"HIGHEST VALUE","LOWEST VALUE")</f>
        <v>LOWEST VALUE</v>
      </c>
      <c r="S192" t="str">
        <f t="shared" si="20"/>
        <v>Profit</v>
      </c>
      <c r="T192" t="str">
        <f t="shared" si="21"/>
        <v>Patricia Baxter</v>
      </c>
      <c r="U192" t="str">
        <f t="shared" si="22"/>
        <v>Desk</v>
      </c>
      <c r="V192">
        <f t="shared" si="23"/>
        <v>2024</v>
      </c>
      <c r="W192">
        <f t="shared" si="24"/>
        <v>11</v>
      </c>
      <c r="X192">
        <f t="shared" si="25"/>
        <v>21</v>
      </c>
      <c r="Y192" t="str">
        <f t="shared" si="26"/>
        <v>Nov</v>
      </c>
      <c r="Z192">
        <f t="shared" si="27"/>
        <v>9</v>
      </c>
    </row>
    <row r="193" spans="1:26" ht="15.75" customHeight="1" x14ac:dyDescent="0.3">
      <c r="A193" s="2" t="s">
        <v>565</v>
      </c>
      <c r="B193" s="2" t="s">
        <v>566</v>
      </c>
      <c r="C193" s="2" t="s">
        <v>139</v>
      </c>
      <c r="D193" s="2" t="s">
        <v>31</v>
      </c>
      <c r="E193" s="2" t="s">
        <v>25</v>
      </c>
      <c r="F193" s="2">
        <v>9</v>
      </c>
      <c r="G193" s="2">
        <v>2793.29</v>
      </c>
      <c r="H193" s="2">
        <v>25139.61</v>
      </c>
      <c r="I193" s="2">
        <v>17975.689999999999</v>
      </c>
      <c r="J193" s="2">
        <v>7163.92</v>
      </c>
      <c r="K193" s="3">
        <v>46154</v>
      </c>
      <c r="L193" s="3">
        <v>46159</v>
      </c>
      <c r="M193" s="2" t="s">
        <v>123</v>
      </c>
      <c r="N193" s="2">
        <v>1</v>
      </c>
      <c r="O193" s="2" t="s">
        <v>567</v>
      </c>
      <c r="P193" s="25">
        <v>7</v>
      </c>
      <c r="Q193" t="str">
        <f t="shared" si="19"/>
        <v>0192</v>
      </c>
      <c r="R193" t="str">
        <f>IF('RETAIL SALES DATA.'!H193&gt;AVERAGE('RETAIL SALES DATA.'!H193:H1192),"HIGHEST VALUE","LOWEST VALUE")</f>
        <v>LOWEST VALUE</v>
      </c>
      <c r="S193" t="str">
        <f t="shared" si="20"/>
        <v>Profit</v>
      </c>
      <c r="T193" t="str">
        <f t="shared" si="21"/>
        <v>Tyler Martinez</v>
      </c>
      <c r="U193" t="str">
        <f t="shared" si="22"/>
        <v>Sofa</v>
      </c>
      <c r="V193">
        <f t="shared" si="23"/>
        <v>2026</v>
      </c>
      <c r="W193">
        <f t="shared" si="24"/>
        <v>5</v>
      </c>
      <c r="X193">
        <f t="shared" si="25"/>
        <v>12</v>
      </c>
      <c r="Y193" t="str">
        <f t="shared" si="26"/>
        <v>May</v>
      </c>
      <c r="Z193">
        <f t="shared" si="27"/>
        <v>5</v>
      </c>
    </row>
    <row r="194" spans="1:26" ht="15.75" customHeight="1" x14ac:dyDescent="0.3">
      <c r="A194" s="2" t="s">
        <v>568</v>
      </c>
      <c r="B194" s="2" t="s">
        <v>569</v>
      </c>
      <c r="C194" s="2" t="s">
        <v>144</v>
      </c>
      <c r="D194" s="2" t="s">
        <v>19</v>
      </c>
      <c r="E194" s="2" t="s">
        <v>20</v>
      </c>
      <c r="F194" s="2">
        <v>5</v>
      </c>
      <c r="G194" s="2">
        <v>3211.13</v>
      </c>
      <c r="H194" s="2">
        <v>16055.65</v>
      </c>
      <c r="I194" s="2">
        <v>9973.9599999999991</v>
      </c>
      <c r="J194" s="2">
        <v>6081.69</v>
      </c>
      <c r="K194" s="3">
        <v>45559</v>
      </c>
      <c r="L194" s="3">
        <v>45561</v>
      </c>
      <c r="M194" s="2" t="s">
        <v>58</v>
      </c>
      <c r="N194" s="2">
        <v>1</v>
      </c>
      <c r="O194" s="2" t="s">
        <v>570</v>
      </c>
      <c r="P194" s="25">
        <v>6.2</v>
      </c>
      <c r="Q194" t="str">
        <f t="shared" si="19"/>
        <v>0193</v>
      </c>
      <c r="R194" t="str">
        <f>IF('RETAIL SALES DATA.'!H194&gt;AVERAGE('RETAIL SALES DATA.'!H194:H1193),"HIGHEST VALUE","LOWEST VALUE")</f>
        <v>LOWEST VALUE</v>
      </c>
      <c r="S194" t="str">
        <f t="shared" si="20"/>
        <v>Profit</v>
      </c>
      <c r="T194" t="str">
        <f t="shared" si="21"/>
        <v>Brian Bauer</v>
      </c>
      <c r="U194" t="str">
        <f t="shared" si="22"/>
        <v>File</v>
      </c>
      <c r="V194">
        <f t="shared" si="23"/>
        <v>2024</v>
      </c>
      <c r="W194">
        <f t="shared" si="24"/>
        <v>9</v>
      </c>
      <c r="X194">
        <f t="shared" si="25"/>
        <v>24</v>
      </c>
      <c r="Y194" t="str">
        <f t="shared" si="26"/>
        <v>Sep</v>
      </c>
      <c r="Z194">
        <f t="shared" si="27"/>
        <v>2</v>
      </c>
    </row>
    <row r="195" spans="1:26" ht="15.75" customHeight="1" x14ac:dyDescent="0.3">
      <c r="A195" s="2" t="s">
        <v>571</v>
      </c>
      <c r="B195" s="2" t="s">
        <v>572</v>
      </c>
      <c r="C195" s="2" t="s">
        <v>30</v>
      </c>
      <c r="D195" s="2" t="s">
        <v>31</v>
      </c>
      <c r="E195" s="2" t="s">
        <v>44</v>
      </c>
      <c r="F195" s="2">
        <v>15</v>
      </c>
      <c r="G195" s="2">
        <v>2327</v>
      </c>
      <c r="H195" s="2">
        <v>34905</v>
      </c>
      <c r="I195" s="2">
        <v>21559.47</v>
      </c>
      <c r="J195" s="2">
        <v>13345.53</v>
      </c>
      <c r="K195" s="3">
        <v>46051</v>
      </c>
      <c r="L195" s="3">
        <v>46054</v>
      </c>
      <c r="M195" s="2" t="s">
        <v>58</v>
      </c>
      <c r="N195" s="2">
        <v>2</v>
      </c>
      <c r="O195" s="2" t="s">
        <v>362</v>
      </c>
      <c r="P195" s="25">
        <v>6.7</v>
      </c>
      <c r="Q195" t="str">
        <f t="shared" ref="Q195:Q258" si="28">RIGHT(A195,"4")</f>
        <v>0194</v>
      </c>
      <c r="R195" t="str">
        <f>IF('RETAIL SALES DATA.'!H195&gt;AVERAGE('RETAIL SALES DATA.'!H195:H1194),"HIGHEST VALUE","LOWEST VALUE")</f>
        <v>HIGHEST VALUE</v>
      </c>
      <c r="S195" t="str">
        <f t="shared" ref="S195:S258" si="29">IF(J195&gt;0,"Profit","Loss")</f>
        <v>Profit</v>
      </c>
      <c r="T195" t="str">
        <f t="shared" ref="T195:T258" si="30">PROPER(B195)</f>
        <v>Ian Hines</v>
      </c>
      <c r="U195" t="str">
        <f t="shared" ref="U195:U258" si="31">PROPER(C195)</f>
        <v>Desk</v>
      </c>
      <c r="V195">
        <f t="shared" ref="V195:V258" si="32">YEAR(K195)</f>
        <v>2026</v>
      </c>
      <c r="W195">
        <f t="shared" ref="W195:W258" si="33">MONTH(L195)</f>
        <v>2</v>
      </c>
      <c r="X195">
        <f t="shared" ref="X195:X258" si="34">DAY(K195)</f>
        <v>29</v>
      </c>
      <c r="Y195" t="str">
        <f t="shared" ref="Y195:Y258" si="35">TEXT(K195,"MMM")</f>
        <v>Jan</v>
      </c>
      <c r="Z195">
        <f t="shared" ref="Z195:Z258" si="36">L195-K195</f>
        <v>3</v>
      </c>
    </row>
    <row r="196" spans="1:26" ht="15.75" customHeight="1" x14ac:dyDescent="0.3">
      <c r="A196" s="2" t="s">
        <v>573</v>
      </c>
      <c r="B196" s="2" t="s">
        <v>574</v>
      </c>
      <c r="C196" s="2" t="s">
        <v>168</v>
      </c>
      <c r="D196" s="2" t="s">
        <v>43</v>
      </c>
      <c r="E196" s="2" t="s">
        <v>32</v>
      </c>
      <c r="F196" s="2">
        <v>20</v>
      </c>
      <c r="G196" s="2">
        <v>1659.6</v>
      </c>
      <c r="H196" s="2">
        <v>33192</v>
      </c>
      <c r="I196" s="2">
        <v>24109.03</v>
      </c>
      <c r="J196" s="2">
        <v>9082.9699999999993</v>
      </c>
      <c r="K196" s="3">
        <v>45592</v>
      </c>
      <c r="L196" s="3">
        <v>45600</v>
      </c>
      <c r="M196" s="2" t="s">
        <v>58</v>
      </c>
      <c r="N196" s="2">
        <v>1</v>
      </c>
      <c r="O196" s="2" t="s">
        <v>557</v>
      </c>
      <c r="P196" s="25">
        <v>8.1</v>
      </c>
      <c r="Q196" t="str">
        <f t="shared" si="28"/>
        <v>0195</v>
      </c>
      <c r="R196" t="str">
        <f>IF('RETAIL SALES DATA.'!H196&gt;AVERAGE('RETAIL SALES DATA.'!H196:H1195),"HIGHEST VALUE","LOWEST VALUE")</f>
        <v>HIGHEST VALUE</v>
      </c>
      <c r="S196" t="str">
        <f t="shared" si="29"/>
        <v>Profit</v>
      </c>
      <c r="T196" t="str">
        <f t="shared" si="30"/>
        <v>Leah Wallace</v>
      </c>
      <c r="U196" t="str">
        <f t="shared" si="31"/>
        <v>Keyboard</v>
      </c>
      <c r="V196">
        <f t="shared" si="32"/>
        <v>2024</v>
      </c>
      <c r="W196">
        <f t="shared" si="33"/>
        <v>11</v>
      </c>
      <c r="X196">
        <f t="shared" si="34"/>
        <v>27</v>
      </c>
      <c r="Y196" t="str">
        <f t="shared" si="35"/>
        <v>Oct</v>
      </c>
      <c r="Z196">
        <f t="shared" si="36"/>
        <v>8</v>
      </c>
    </row>
    <row r="197" spans="1:26" ht="15.75" customHeight="1" x14ac:dyDescent="0.3">
      <c r="A197" s="2" t="s">
        <v>575</v>
      </c>
      <c r="B197" s="2" t="s">
        <v>576</v>
      </c>
      <c r="C197" s="2" t="s">
        <v>88</v>
      </c>
      <c r="D197" s="2" t="s">
        <v>31</v>
      </c>
      <c r="E197" s="2" t="s">
        <v>25</v>
      </c>
      <c r="F197" s="2">
        <v>20</v>
      </c>
      <c r="G197" s="2">
        <v>2821.92</v>
      </c>
      <c r="H197" s="2">
        <v>56438.400000000001</v>
      </c>
      <c r="I197" s="2">
        <v>33159.53</v>
      </c>
      <c r="J197" s="2">
        <v>23278.87</v>
      </c>
      <c r="K197" s="3">
        <v>45808</v>
      </c>
      <c r="L197" s="3">
        <v>45815</v>
      </c>
      <c r="M197" s="2" t="s">
        <v>21</v>
      </c>
      <c r="N197" s="2">
        <v>5</v>
      </c>
      <c r="O197" s="2" t="s">
        <v>577</v>
      </c>
      <c r="P197" s="25">
        <v>6.5</v>
      </c>
      <c r="Q197" t="str">
        <f t="shared" si="28"/>
        <v>0196</v>
      </c>
      <c r="R197" t="str">
        <f>IF('RETAIL SALES DATA.'!H197&gt;AVERAGE('RETAIL SALES DATA.'!H197:H1196),"HIGHEST VALUE","LOWEST VALUE")</f>
        <v>HIGHEST VALUE</v>
      </c>
      <c r="S197" t="str">
        <f t="shared" si="29"/>
        <v>Profit</v>
      </c>
      <c r="T197" t="str">
        <f t="shared" si="30"/>
        <v>Kaitlin Rose</v>
      </c>
      <c r="U197" t="str">
        <f t="shared" si="31"/>
        <v>Cupboard</v>
      </c>
      <c r="V197">
        <f t="shared" si="32"/>
        <v>2025</v>
      </c>
      <c r="W197">
        <f t="shared" si="33"/>
        <v>6</v>
      </c>
      <c r="X197">
        <f t="shared" si="34"/>
        <v>31</v>
      </c>
      <c r="Y197" t="str">
        <f t="shared" si="35"/>
        <v>May</v>
      </c>
      <c r="Z197">
        <f t="shared" si="36"/>
        <v>7</v>
      </c>
    </row>
    <row r="198" spans="1:26" ht="15.75" customHeight="1" x14ac:dyDescent="0.3">
      <c r="A198" s="2" t="s">
        <v>578</v>
      </c>
      <c r="B198" s="2" t="s">
        <v>579</v>
      </c>
      <c r="C198" s="2" t="s">
        <v>42</v>
      </c>
      <c r="D198" s="2" t="s">
        <v>43</v>
      </c>
      <c r="E198" s="2" t="s">
        <v>32</v>
      </c>
      <c r="F198" s="2">
        <v>7</v>
      </c>
      <c r="G198" s="2">
        <v>3315.34</v>
      </c>
      <c r="H198" s="2">
        <v>23207.38</v>
      </c>
      <c r="I198" s="2">
        <v>11806.02</v>
      </c>
      <c r="J198" s="2">
        <v>11401.36</v>
      </c>
      <c r="K198" s="3">
        <v>45609</v>
      </c>
      <c r="L198" s="3">
        <v>45611</v>
      </c>
      <c r="M198" s="2" t="s">
        <v>58</v>
      </c>
      <c r="N198" s="2">
        <v>1</v>
      </c>
      <c r="O198" s="2" t="s">
        <v>580</v>
      </c>
      <c r="P198" s="25">
        <v>7.5</v>
      </c>
      <c r="Q198" t="str">
        <f t="shared" si="28"/>
        <v>0197</v>
      </c>
      <c r="R198" t="str">
        <f>IF('RETAIL SALES DATA.'!H198&gt;AVERAGE('RETAIL SALES DATA.'!H198:H1197),"HIGHEST VALUE","LOWEST VALUE")</f>
        <v>LOWEST VALUE</v>
      </c>
      <c r="S198" t="str">
        <f t="shared" si="29"/>
        <v>Profit</v>
      </c>
      <c r="T198" t="str">
        <f t="shared" si="30"/>
        <v>Karen Wells</v>
      </c>
      <c r="U198" t="str">
        <f t="shared" si="31"/>
        <v>Laptop</v>
      </c>
      <c r="V198">
        <f t="shared" si="32"/>
        <v>2024</v>
      </c>
      <c r="W198">
        <f t="shared" si="33"/>
        <v>11</v>
      </c>
      <c r="X198">
        <f t="shared" si="34"/>
        <v>13</v>
      </c>
      <c r="Y198" t="str">
        <f t="shared" si="35"/>
        <v>Nov</v>
      </c>
      <c r="Z198">
        <f t="shared" si="36"/>
        <v>2</v>
      </c>
    </row>
    <row r="199" spans="1:26" ht="15.75" customHeight="1" x14ac:dyDescent="0.3">
      <c r="A199" s="2" t="s">
        <v>581</v>
      </c>
      <c r="B199" s="2" t="s">
        <v>582</v>
      </c>
      <c r="C199" s="2" t="s">
        <v>49</v>
      </c>
      <c r="D199" s="2" t="s">
        <v>43</v>
      </c>
      <c r="E199" s="2" t="s">
        <v>44</v>
      </c>
      <c r="F199" s="2">
        <v>13</v>
      </c>
      <c r="G199" s="2">
        <v>2175.11</v>
      </c>
      <c r="H199" s="2">
        <v>28276.43</v>
      </c>
      <c r="I199" s="2">
        <v>14421.32</v>
      </c>
      <c r="J199" s="2">
        <v>13855.11</v>
      </c>
      <c r="K199" s="3">
        <v>45456</v>
      </c>
      <c r="L199" s="3">
        <v>45464</v>
      </c>
      <c r="M199" s="2" t="s">
        <v>38</v>
      </c>
      <c r="N199" s="2">
        <v>2</v>
      </c>
      <c r="O199" s="2" t="s">
        <v>127</v>
      </c>
      <c r="P199" s="25">
        <v>7.3</v>
      </c>
      <c r="Q199" t="str">
        <f t="shared" si="28"/>
        <v>0198</v>
      </c>
      <c r="R199" t="str">
        <f>IF('RETAIL SALES DATA.'!H199&gt;AVERAGE('RETAIL SALES DATA.'!H199:H1198),"HIGHEST VALUE","LOWEST VALUE")</f>
        <v>HIGHEST VALUE</v>
      </c>
      <c r="S199" t="str">
        <f t="shared" si="29"/>
        <v>Profit</v>
      </c>
      <c r="T199" t="str">
        <f t="shared" si="30"/>
        <v>Adam Romero</v>
      </c>
      <c r="U199" t="str">
        <f t="shared" si="31"/>
        <v>Mouse</v>
      </c>
      <c r="V199">
        <f t="shared" si="32"/>
        <v>2024</v>
      </c>
      <c r="W199">
        <f t="shared" si="33"/>
        <v>6</v>
      </c>
      <c r="X199">
        <f t="shared" si="34"/>
        <v>13</v>
      </c>
      <c r="Y199" t="str">
        <f t="shared" si="35"/>
        <v>Jun</v>
      </c>
      <c r="Z199">
        <f t="shared" si="36"/>
        <v>8</v>
      </c>
    </row>
    <row r="200" spans="1:26" ht="15.75" customHeight="1" x14ac:dyDescent="0.3">
      <c r="A200" s="2" t="s">
        <v>583</v>
      </c>
      <c r="B200" s="2" t="s">
        <v>584</v>
      </c>
      <c r="C200" s="2" t="s">
        <v>62</v>
      </c>
      <c r="D200" s="2" t="s">
        <v>31</v>
      </c>
      <c r="E200" s="2" t="s">
        <v>25</v>
      </c>
      <c r="F200" s="2">
        <v>1</v>
      </c>
      <c r="G200" s="2">
        <v>4654.6899999999996</v>
      </c>
      <c r="H200" s="2">
        <v>4654.6899999999996</v>
      </c>
      <c r="I200" s="2">
        <v>3917.37</v>
      </c>
      <c r="J200" s="2">
        <v>737.32</v>
      </c>
      <c r="K200" s="3">
        <v>45979</v>
      </c>
      <c r="L200" s="3">
        <v>45980</v>
      </c>
      <c r="M200" s="2" t="s">
        <v>26</v>
      </c>
      <c r="N200" s="2">
        <v>2</v>
      </c>
      <c r="O200" s="2" t="s">
        <v>585</v>
      </c>
      <c r="P200" s="25">
        <v>8.8000000000000007</v>
      </c>
      <c r="Q200" t="str">
        <f t="shared" si="28"/>
        <v>0199</v>
      </c>
      <c r="R200" t="str">
        <f>IF('RETAIL SALES DATA.'!H200&gt;AVERAGE('RETAIL SALES DATA.'!H200:H1199),"HIGHEST VALUE","LOWEST VALUE")</f>
        <v>LOWEST VALUE</v>
      </c>
      <c r="S200" t="str">
        <f t="shared" si="29"/>
        <v>Profit</v>
      </c>
      <c r="T200" t="str">
        <f t="shared" si="30"/>
        <v>Brooke Dyer</v>
      </c>
      <c r="U200" t="str">
        <f t="shared" si="31"/>
        <v>Table</v>
      </c>
      <c r="V200">
        <f t="shared" si="32"/>
        <v>2025</v>
      </c>
      <c r="W200">
        <f t="shared" si="33"/>
        <v>11</v>
      </c>
      <c r="X200">
        <f t="shared" si="34"/>
        <v>18</v>
      </c>
      <c r="Y200" t="str">
        <f t="shared" si="35"/>
        <v>Nov</v>
      </c>
      <c r="Z200">
        <f t="shared" si="36"/>
        <v>1</v>
      </c>
    </row>
    <row r="201" spans="1:26" ht="15.75" customHeight="1" x14ac:dyDescent="0.3">
      <c r="A201" s="2" t="s">
        <v>586</v>
      </c>
      <c r="B201" s="2" t="s">
        <v>587</v>
      </c>
      <c r="C201" s="2" t="s">
        <v>42</v>
      </c>
      <c r="D201" s="2" t="s">
        <v>43</v>
      </c>
      <c r="E201" s="2" t="s">
        <v>25</v>
      </c>
      <c r="F201" s="2">
        <v>18</v>
      </c>
      <c r="G201" s="2">
        <v>1979.62</v>
      </c>
      <c r="H201" s="2">
        <v>35633.160000000003</v>
      </c>
      <c r="I201" s="2">
        <v>31434.28</v>
      </c>
      <c r="J201" s="2">
        <v>4198.88</v>
      </c>
      <c r="K201" s="3">
        <v>45973</v>
      </c>
      <c r="L201" s="3">
        <v>45978</v>
      </c>
      <c r="M201" s="2" t="s">
        <v>38</v>
      </c>
      <c r="N201" s="2">
        <v>4</v>
      </c>
      <c r="O201" s="2" t="s">
        <v>588</v>
      </c>
      <c r="P201" s="25">
        <v>6.8</v>
      </c>
      <c r="Q201" t="str">
        <f t="shared" si="28"/>
        <v>0200</v>
      </c>
      <c r="R201" t="str">
        <f>IF('RETAIL SALES DATA.'!H201&gt;AVERAGE('RETAIL SALES DATA.'!H201:H1200),"HIGHEST VALUE","LOWEST VALUE")</f>
        <v>HIGHEST VALUE</v>
      </c>
      <c r="S201" t="str">
        <f t="shared" si="29"/>
        <v>Profit</v>
      </c>
      <c r="T201" t="str">
        <f t="shared" si="30"/>
        <v>Jessica Wells</v>
      </c>
      <c r="U201" t="str">
        <f t="shared" si="31"/>
        <v>Laptop</v>
      </c>
      <c r="V201">
        <f t="shared" si="32"/>
        <v>2025</v>
      </c>
      <c r="W201">
        <f t="shared" si="33"/>
        <v>11</v>
      </c>
      <c r="X201">
        <f t="shared" si="34"/>
        <v>12</v>
      </c>
      <c r="Y201" t="str">
        <f t="shared" si="35"/>
        <v>Nov</v>
      </c>
      <c r="Z201">
        <f t="shared" si="36"/>
        <v>5</v>
      </c>
    </row>
    <row r="202" spans="1:26" ht="15.75" customHeight="1" x14ac:dyDescent="0.3">
      <c r="A202" s="2" t="s">
        <v>589</v>
      </c>
      <c r="B202" s="2" t="s">
        <v>590</v>
      </c>
      <c r="C202" s="2" t="s">
        <v>219</v>
      </c>
      <c r="D202" s="2" t="s">
        <v>43</v>
      </c>
      <c r="E202" s="2" t="s">
        <v>44</v>
      </c>
      <c r="F202" s="2">
        <v>18</v>
      </c>
      <c r="G202" s="2">
        <v>1184.08</v>
      </c>
      <c r="H202" s="2">
        <v>21313.439999999999</v>
      </c>
      <c r="I202" s="2">
        <v>11928.77</v>
      </c>
      <c r="J202" s="2">
        <v>9384.67</v>
      </c>
      <c r="K202" s="3">
        <v>46100</v>
      </c>
      <c r="L202" s="3">
        <v>46105</v>
      </c>
      <c r="M202" s="2" t="s">
        <v>33</v>
      </c>
      <c r="N202" s="2">
        <v>1</v>
      </c>
      <c r="O202" s="2" t="s">
        <v>591</v>
      </c>
      <c r="P202" s="25">
        <v>6</v>
      </c>
      <c r="Q202" t="str">
        <f t="shared" si="28"/>
        <v>0201</v>
      </c>
      <c r="R202" t="str">
        <f>IF('RETAIL SALES DATA.'!H202&gt;AVERAGE('RETAIL SALES DATA.'!H202:H1201),"HIGHEST VALUE","LOWEST VALUE")</f>
        <v>LOWEST VALUE</v>
      </c>
      <c r="S202" t="str">
        <f t="shared" si="29"/>
        <v>Profit</v>
      </c>
      <c r="T202" t="str">
        <f t="shared" si="30"/>
        <v>Tyler Williams</v>
      </c>
      <c r="U202" t="str">
        <f t="shared" si="31"/>
        <v>Smartphone</v>
      </c>
      <c r="V202">
        <f t="shared" si="32"/>
        <v>2026</v>
      </c>
      <c r="W202">
        <f t="shared" si="33"/>
        <v>3</v>
      </c>
      <c r="X202">
        <f t="shared" si="34"/>
        <v>19</v>
      </c>
      <c r="Y202" t="str">
        <f t="shared" si="35"/>
        <v>Mar</v>
      </c>
      <c r="Z202">
        <f t="shared" si="36"/>
        <v>5</v>
      </c>
    </row>
    <row r="203" spans="1:26" ht="15.75" customHeight="1" x14ac:dyDescent="0.3">
      <c r="A203" s="2" t="s">
        <v>592</v>
      </c>
      <c r="B203" s="2" t="s">
        <v>593</v>
      </c>
      <c r="C203" s="2" t="s">
        <v>18</v>
      </c>
      <c r="D203" s="2" t="s">
        <v>19</v>
      </c>
      <c r="E203" s="2" t="s">
        <v>20</v>
      </c>
      <c r="F203" s="2">
        <v>6</v>
      </c>
      <c r="G203" s="2">
        <v>66.510000000000005</v>
      </c>
      <c r="H203" s="2">
        <v>399.06</v>
      </c>
      <c r="I203" s="2">
        <v>285.91000000000003</v>
      </c>
      <c r="J203" s="2">
        <v>113.15</v>
      </c>
      <c r="K203" s="3">
        <v>45752</v>
      </c>
      <c r="L203" s="3">
        <v>45756</v>
      </c>
      <c r="M203" s="2" t="s">
        <v>26</v>
      </c>
      <c r="N203" s="2">
        <v>3</v>
      </c>
      <c r="O203" s="2" t="s">
        <v>594</v>
      </c>
      <c r="P203" s="25">
        <v>9</v>
      </c>
      <c r="Q203" t="str">
        <f t="shared" si="28"/>
        <v>0202</v>
      </c>
      <c r="R203" t="str">
        <f>IF('RETAIL SALES DATA.'!H203&gt;AVERAGE('RETAIL SALES DATA.'!H203:H1202),"HIGHEST VALUE","LOWEST VALUE")</f>
        <v>LOWEST VALUE</v>
      </c>
      <c r="S203" t="str">
        <f t="shared" si="29"/>
        <v>Profit</v>
      </c>
      <c r="T203" t="str">
        <f t="shared" si="30"/>
        <v>Franklin Stevens</v>
      </c>
      <c r="U203" t="str">
        <f t="shared" si="31"/>
        <v>Pen</v>
      </c>
      <c r="V203">
        <f t="shared" si="32"/>
        <v>2025</v>
      </c>
      <c r="W203">
        <f t="shared" si="33"/>
        <v>4</v>
      </c>
      <c r="X203">
        <f t="shared" si="34"/>
        <v>5</v>
      </c>
      <c r="Y203" t="str">
        <f t="shared" si="35"/>
        <v>Apr</v>
      </c>
      <c r="Z203">
        <f t="shared" si="36"/>
        <v>4</v>
      </c>
    </row>
    <row r="204" spans="1:26" ht="15.75" customHeight="1" x14ac:dyDescent="0.3">
      <c r="A204" s="2" t="s">
        <v>595</v>
      </c>
      <c r="B204" s="2" t="s">
        <v>596</v>
      </c>
      <c r="C204" s="2" t="s">
        <v>18</v>
      </c>
      <c r="D204" s="2" t="s">
        <v>19</v>
      </c>
      <c r="E204" s="2" t="s">
        <v>32</v>
      </c>
      <c r="F204" s="2">
        <v>11</v>
      </c>
      <c r="G204" s="2">
        <v>3445.18</v>
      </c>
      <c r="H204" s="2">
        <v>37896.980000000003</v>
      </c>
      <c r="I204" s="2">
        <v>25905.93</v>
      </c>
      <c r="J204" s="2">
        <v>11991.05</v>
      </c>
      <c r="K204" s="3">
        <v>45603</v>
      </c>
      <c r="L204" s="3">
        <v>45611</v>
      </c>
      <c r="M204" s="2" t="s">
        <v>69</v>
      </c>
      <c r="N204" s="2">
        <v>3</v>
      </c>
      <c r="O204" s="2" t="s">
        <v>597</v>
      </c>
      <c r="P204" s="25">
        <v>8.9</v>
      </c>
      <c r="Q204" t="str">
        <f t="shared" si="28"/>
        <v>0203</v>
      </c>
      <c r="R204" t="str">
        <f>IF('RETAIL SALES DATA.'!H204&gt;AVERAGE('RETAIL SALES DATA.'!H204:H1203),"HIGHEST VALUE","LOWEST VALUE")</f>
        <v>HIGHEST VALUE</v>
      </c>
      <c r="S204" t="str">
        <f t="shared" si="29"/>
        <v>Profit</v>
      </c>
      <c r="T204" t="str">
        <f t="shared" si="30"/>
        <v>Mr. Joe Ramirez</v>
      </c>
      <c r="U204" t="str">
        <f t="shared" si="31"/>
        <v>Pen</v>
      </c>
      <c r="V204">
        <f t="shared" si="32"/>
        <v>2024</v>
      </c>
      <c r="W204">
        <f t="shared" si="33"/>
        <v>11</v>
      </c>
      <c r="X204">
        <f t="shared" si="34"/>
        <v>7</v>
      </c>
      <c r="Y204" t="str">
        <f t="shared" si="35"/>
        <v>Nov</v>
      </c>
      <c r="Z204">
        <f t="shared" si="36"/>
        <v>8</v>
      </c>
    </row>
    <row r="205" spans="1:26" ht="15.75" customHeight="1" x14ac:dyDescent="0.3">
      <c r="A205" s="2" t="s">
        <v>598</v>
      </c>
      <c r="B205" s="2" t="s">
        <v>599</v>
      </c>
      <c r="C205" s="2" t="s">
        <v>42</v>
      </c>
      <c r="D205" s="2" t="s">
        <v>43</v>
      </c>
      <c r="E205" s="2" t="s">
        <v>44</v>
      </c>
      <c r="F205" s="2">
        <v>3</v>
      </c>
      <c r="G205" s="2">
        <v>4769.33</v>
      </c>
      <c r="H205" s="2">
        <v>14307.99</v>
      </c>
      <c r="I205" s="2">
        <v>9056.74</v>
      </c>
      <c r="J205" s="2">
        <v>5251.25</v>
      </c>
      <c r="K205" s="3">
        <v>45785</v>
      </c>
      <c r="L205" s="3">
        <v>45790</v>
      </c>
      <c r="M205" s="2" t="s">
        <v>26</v>
      </c>
      <c r="N205" s="2">
        <v>4</v>
      </c>
      <c r="O205" s="2" t="s">
        <v>96</v>
      </c>
      <c r="P205" s="25">
        <v>9.1999999999999993</v>
      </c>
      <c r="Q205" t="str">
        <f t="shared" si="28"/>
        <v>0204</v>
      </c>
      <c r="R205" t="str">
        <f>IF('RETAIL SALES DATA.'!H205&gt;AVERAGE('RETAIL SALES DATA.'!H205:H1204),"HIGHEST VALUE","LOWEST VALUE")</f>
        <v>LOWEST VALUE</v>
      </c>
      <c r="S205" t="str">
        <f t="shared" si="29"/>
        <v>Profit</v>
      </c>
      <c r="T205" t="str">
        <f t="shared" si="30"/>
        <v>Christopher Ford</v>
      </c>
      <c r="U205" t="str">
        <f t="shared" si="31"/>
        <v>Laptop</v>
      </c>
      <c r="V205">
        <f t="shared" si="32"/>
        <v>2025</v>
      </c>
      <c r="W205">
        <f t="shared" si="33"/>
        <v>5</v>
      </c>
      <c r="X205">
        <f t="shared" si="34"/>
        <v>8</v>
      </c>
      <c r="Y205" t="str">
        <f t="shared" si="35"/>
        <v>May</v>
      </c>
      <c r="Z205">
        <f t="shared" si="36"/>
        <v>5</v>
      </c>
    </row>
    <row r="206" spans="1:26" ht="15.75" customHeight="1" x14ac:dyDescent="0.3">
      <c r="A206" s="2" t="s">
        <v>600</v>
      </c>
      <c r="B206" s="2" t="s">
        <v>601</v>
      </c>
      <c r="C206" s="2" t="s">
        <v>195</v>
      </c>
      <c r="D206" s="2" t="s">
        <v>43</v>
      </c>
      <c r="E206" s="2" t="s">
        <v>32</v>
      </c>
      <c r="F206" s="2">
        <v>2</v>
      </c>
      <c r="G206" s="2">
        <v>2579.38</v>
      </c>
      <c r="H206" s="2">
        <v>5158.76</v>
      </c>
      <c r="I206" s="2">
        <v>3028.03</v>
      </c>
      <c r="J206" s="2">
        <v>2130.73</v>
      </c>
      <c r="K206" s="3">
        <v>46160</v>
      </c>
      <c r="L206" s="3">
        <v>46161</v>
      </c>
      <c r="M206" s="2" t="s">
        <v>58</v>
      </c>
      <c r="N206" s="2">
        <v>3</v>
      </c>
      <c r="O206" s="2" t="s">
        <v>39</v>
      </c>
      <c r="P206" s="25">
        <v>9</v>
      </c>
      <c r="Q206" t="str">
        <f t="shared" si="28"/>
        <v>0205</v>
      </c>
      <c r="R206" t="str">
        <f>IF('RETAIL SALES DATA.'!H206&gt;AVERAGE('RETAIL SALES DATA.'!H206:H1205),"HIGHEST VALUE","LOWEST VALUE")</f>
        <v>LOWEST VALUE</v>
      </c>
      <c r="S206" t="str">
        <f t="shared" si="29"/>
        <v>Profit</v>
      </c>
      <c r="T206" t="str">
        <f t="shared" si="30"/>
        <v>Sharon Smith</v>
      </c>
      <c r="U206" t="str">
        <f t="shared" si="31"/>
        <v>Monitor</v>
      </c>
      <c r="V206">
        <f t="shared" si="32"/>
        <v>2026</v>
      </c>
      <c r="W206">
        <f t="shared" si="33"/>
        <v>5</v>
      </c>
      <c r="X206">
        <f t="shared" si="34"/>
        <v>18</v>
      </c>
      <c r="Y206" t="str">
        <f t="shared" si="35"/>
        <v>May</v>
      </c>
      <c r="Z206">
        <f t="shared" si="36"/>
        <v>1</v>
      </c>
    </row>
    <row r="207" spans="1:26" ht="15.75" customHeight="1" x14ac:dyDescent="0.3">
      <c r="A207" s="2" t="s">
        <v>602</v>
      </c>
      <c r="B207" s="2" t="s">
        <v>603</v>
      </c>
      <c r="C207" s="2" t="s">
        <v>139</v>
      </c>
      <c r="D207" s="2" t="s">
        <v>31</v>
      </c>
      <c r="E207" s="2" t="s">
        <v>20</v>
      </c>
      <c r="F207" s="2">
        <v>1</v>
      </c>
      <c r="G207" s="2">
        <v>4520.82</v>
      </c>
      <c r="H207" s="2">
        <v>4520.82</v>
      </c>
      <c r="I207" s="2">
        <v>2335.5</v>
      </c>
      <c r="J207" s="2">
        <v>2185.3200000000002</v>
      </c>
      <c r="K207" s="3">
        <v>45612</v>
      </c>
      <c r="L207" s="3">
        <v>45622</v>
      </c>
      <c r="M207" s="2" t="s">
        <v>58</v>
      </c>
      <c r="N207" s="2">
        <v>3</v>
      </c>
      <c r="O207" s="2" t="s">
        <v>604</v>
      </c>
      <c r="P207" s="25">
        <v>6.9</v>
      </c>
      <c r="Q207" t="str">
        <f t="shared" si="28"/>
        <v>0206</v>
      </c>
      <c r="R207" t="str">
        <f>IF('RETAIL SALES DATA.'!H207&gt;AVERAGE('RETAIL SALES DATA.'!H207:H1206),"HIGHEST VALUE","LOWEST VALUE")</f>
        <v>LOWEST VALUE</v>
      </c>
      <c r="S207" t="str">
        <f t="shared" si="29"/>
        <v>Profit</v>
      </c>
      <c r="T207" t="str">
        <f t="shared" si="30"/>
        <v>Michelle Estrada</v>
      </c>
      <c r="U207" t="str">
        <f t="shared" si="31"/>
        <v>Sofa</v>
      </c>
      <c r="V207">
        <f t="shared" si="32"/>
        <v>2024</v>
      </c>
      <c r="W207">
        <f t="shared" si="33"/>
        <v>11</v>
      </c>
      <c r="X207">
        <f t="shared" si="34"/>
        <v>16</v>
      </c>
      <c r="Y207" t="str">
        <f t="shared" si="35"/>
        <v>Nov</v>
      </c>
      <c r="Z207">
        <f t="shared" si="36"/>
        <v>10</v>
      </c>
    </row>
    <row r="208" spans="1:26" ht="15.75" customHeight="1" x14ac:dyDescent="0.3">
      <c r="A208" s="2" t="s">
        <v>605</v>
      </c>
      <c r="B208" s="2" t="s">
        <v>606</v>
      </c>
      <c r="C208" s="2" t="s">
        <v>219</v>
      </c>
      <c r="D208" s="2" t="s">
        <v>43</v>
      </c>
      <c r="E208" s="2" t="s">
        <v>32</v>
      </c>
      <c r="F208" s="2">
        <v>4</v>
      </c>
      <c r="G208" s="2">
        <v>568.27</v>
      </c>
      <c r="H208" s="2">
        <v>2273.08</v>
      </c>
      <c r="I208" s="2">
        <v>1192.7</v>
      </c>
      <c r="J208" s="2">
        <v>1080.3800000000001</v>
      </c>
      <c r="K208" s="3">
        <v>46052</v>
      </c>
      <c r="L208" s="3">
        <v>46058</v>
      </c>
      <c r="M208" s="2" t="s">
        <v>50</v>
      </c>
      <c r="N208" s="2">
        <v>2</v>
      </c>
      <c r="O208" s="2" t="s">
        <v>607</v>
      </c>
      <c r="P208" s="25">
        <v>6.3</v>
      </c>
      <c r="Q208" t="str">
        <f t="shared" si="28"/>
        <v>0207</v>
      </c>
      <c r="R208" t="str">
        <f>IF('RETAIL SALES DATA.'!H208&gt;AVERAGE('RETAIL SALES DATA.'!H208:H1207),"HIGHEST VALUE","LOWEST VALUE")</f>
        <v>LOWEST VALUE</v>
      </c>
      <c r="S208" t="str">
        <f t="shared" si="29"/>
        <v>Profit</v>
      </c>
      <c r="T208" t="str">
        <f t="shared" si="30"/>
        <v>Danielle Mcdonald</v>
      </c>
      <c r="U208" t="str">
        <f t="shared" si="31"/>
        <v>Smartphone</v>
      </c>
      <c r="V208">
        <f t="shared" si="32"/>
        <v>2026</v>
      </c>
      <c r="W208">
        <f t="shared" si="33"/>
        <v>2</v>
      </c>
      <c r="X208">
        <f t="shared" si="34"/>
        <v>30</v>
      </c>
      <c r="Y208" t="str">
        <f t="shared" si="35"/>
        <v>Jan</v>
      </c>
      <c r="Z208">
        <f t="shared" si="36"/>
        <v>6</v>
      </c>
    </row>
    <row r="209" spans="1:26" ht="15.75" customHeight="1" x14ac:dyDescent="0.3">
      <c r="A209" s="2" t="s">
        <v>608</v>
      </c>
      <c r="B209" s="2" t="s">
        <v>609</v>
      </c>
      <c r="C209" s="2" t="s">
        <v>18</v>
      </c>
      <c r="D209" s="2" t="s">
        <v>19</v>
      </c>
      <c r="E209" s="2" t="s">
        <v>32</v>
      </c>
      <c r="F209" s="2">
        <v>18</v>
      </c>
      <c r="G209" s="2">
        <v>2457.71</v>
      </c>
      <c r="H209" s="2">
        <v>44238.78</v>
      </c>
      <c r="I209" s="2">
        <v>30433.59</v>
      </c>
      <c r="J209" s="2">
        <v>13805.19</v>
      </c>
      <c r="K209" s="3">
        <v>46071</v>
      </c>
      <c r="L209" s="3">
        <v>46075</v>
      </c>
      <c r="M209" s="2" t="s">
        <v>33</v>
      </c>
      <c r="N209" s="2">
        <v>1</v>
      </c>
      <c r="O209" s="2" t="s">
        <v>610</v>
      </c>
      <c r="P209" s="25">
        <v>8.3000000000000007</v>
      </c>
      <c r="Q209" t="str">
        <f t="shared" si="28"/>
        <v>0208</v>
      </c>
      <c r="R209" t="str">
        <f>IF('RETAIL SALES DATA.'!H209&gt;AVERAGE('RETAIL SALES DATA.'!H209:H1208),"HIGHEST VALUE","LOWEST VALUE")</f>
        <v>HIGHEST VALUE</v>
      </c>
      <c r="S209" t="str">
        <f t="shared" si="29"/>
        <v>Profit</v>
      </c>
      <c r="T209" t="str">
        <f t="shared" si="30"/>
        <v>Steven Mccarthy</v>
      </c>
      <c r="U209" t="str">
        <f t="shared" si="31"/>
        <v>Pen</v>
      </c>
      <c r="V209">
        <f t="shared" si="32"/>
        <v>2026</v>
      </c>
      <c r="W209">
        <f t="shared" si="33"/>
        <v>2</v>
      </c>
      <c r="X209">
        <f t="shared" si="34"/>
        <v>18</v>
      </c>
      <c r="Y209" t="str">
        <f t="shared" si="35"/>
        <v>Feb</v>
      </c>
      <c r="Z209">
        <f t="shared" si="36"/>
        <v>4</v>
      </c>
    </row>
    <row r="210" spans="1:26" ht="15.75" customHeight="1" x14ac:dyDescent="0.3">
      <c r="A210" s="2" t="s">
        <v>611</v>
      </c>
      <c r="B210" s="2" t="s">
        <v>612</v>
      </c>
      <c r="C210" s="2" t="s">
        <v>72</v>
      </c>
      <c r="D210" s="2" t="s">
        <v>31</v>
      </c>
      <c r="E210" s="2" t="s">
        <v>44</v>
      </c>
      <c r="F210" s="2">
        <v>11</v>
      </c>
      <c r="G210" s="2">
        <v>2656.81</v>
      </c>
      <c r="H210" s="2">
        <v>29224.91</v>
      </c>
      <c r="I210" s="2">
        <v>25393.51</v>
      </c>
      <c r="J210" s="2">
        <v>3831.4</v>
      </c>
      <c r="K210" s="3">
        <v>46126</v>
      </c>
      <c r="L210" s="3">
        <v>46130</v>
      </c>
      <c r="M210" s="2" t="s">
        <v>123</v>
      </c>
      <c r="N210" s="2">
        <v>2</v>
      </c>
      <c r="O210" s="2" t="s">
        <v>54</v>
      </c>
      <c r="P210" s="25">
        <v>9.1</v>
      </c>
      <c r="Q210" t="str">
        <f t="shared" si="28"/>
        <v>0209</v>
      </c>
      <c r="R210" t="str">
        <f>IF('RETAIL SALES DATA.'!H210&gt;AVERAGE('RETAIL SALES DATA.'!H210:H1209),"HIGHEST VALUE","LOWEST VALUE")</f>
        <v>HIGHEST VALUE</v>
      </c>
      <c r="S210" t="str">
        <f t="shared" si="29"/>
        <v>Profit</v>
      </c>
      <c r="T210" t="str">
        <f t="shared" si="30"/>
        <v>Joshua Diaz</v>
      </c>
      <c r="U210" t="str">
        <f t="shared" si="31"/>
        <v>Chair</v>
      </c>
      <c r="V210">
        <f t="shared" si="32"/>
        <v>2026</v>
      </c>
      <c r="W210">
        <f t="shared" si="33"/>
        <v>4</v>
      </c>
      <c r="X210">
        <f t="shared" si="34"/>
        <v>14</v>
      </c>
      <c r="Y210" t="str">
        <f t="shared" si="35"/>
        <v>Apr</v>
      </c>
      <c r="Z210">
        <f t="shared" si="36"/>
        <v>4</v>
      </c>
    </row>
    <row r="211" spans="1:26" ht="15.75" customHeight="1" x14ac:dyDescent="0.3">
      <c r="A211" s="2" t="s">
        <v>613</v>
      </c>
      <c r="B211" s="2" t="s">
        <v>614</v>
      </c>
      <c r="C211" s="2" t="s">
        <v>18</v>
      </c>
      <c r="D211" s="2" t="s">
        <v>19</v>
      </c>
      <c r="E211" s="2" t="s">
        <v>44</v>
      </c>
      <c r="F211" s="2">
        <v>14</v>
      </c>
      <c r="G211" s="2">
        <v>837.86</v>
      </c>
      <c r="H211" s="2">
        <v>11730.04</v>
      </c>
      <c r="I211" s="2">
        <v>8773.1200000000008</v>
      </c>
      <c r="J211" s="2">
        <v>2956.92</v>
      </c>
      <c r="K211" s="3">
        <v>45978</v>
      </c>
      <c r="L211" s="3">
        <v>45985</v>
      </c>
      <c r="M211" s="2" t="s">
        <v>38</v>
      </c>
      <c r="N211" s="2">
        <v>5</v>
      </c>
      <c r="O211" s="2" t="s">
        <v>615</v>
      </c>
      <c r="P211" s="25">
        <v>7.5</v>
      </c>
      <c r="Q211" t="str">
        <f t="shared" si="28"/>
        <v>0210</v>
      </c>
      <c r="R211" t="str">
        <f>IF('RETAIL SALES DATA.'!H211&gt;AVERAGE('RETAIL SALES DATA.'!H211:H1210),"HIGHEST VALUE","LOWEST VALUE")</f>
        <v>LOWEST VALUE</v>
      </c>
      <c r="S211" t="str">
        <f t="shared" si="29"/>
        <v>Profit</v>
      </c>
      <c r="T211" t="str">
        <f t="shared" si="30"/>
        <v>Karen Clark</v>
      </c>
      <c r="U211" t="str">
        <f t="shared" si="31"/>
        <v>Pen</v>
      </c>
      <c r="V211">
        <f t="shared" si="32"/>
        <v>2025</v>
      </c>
      <c r="W211">
        <f t="shared" si="33"/>
        <v>11</v>
      </c>
      <c r="X211">
        <f t="shared" si="34"/>
        <v>17</v>
      </c>
      <c r="Y211" t="str">
        <f t="shared" si="35"/>
        <v>Nov</v>
      </c>
      <c r="Z211">
        <f t="shared" si="36"/>
        <v>7</v>
      </c>
    </row>
    <row r="212" spans="1:26" ht="15.75" customHeight="1" x14ac:dyDescent="0.3">
      <c r="A212" s="2" t="s">
        <v>616</v>
      </c>
      <c r="B212" s="2" t="s">
        <v>617</v>
      </c>
      <c r="C212" s="2" t="s">
        <v>219</v>
      </c>
      <c r="D212" s="2" t="s">
        <v>43</v>
      </c>
      <c r="E212" s="2" t="s">
        <v>25</v>
      </c>
      <c r="F212" s="2">
        <v>8</v>
      </c>
      <c r="G212" s="2">
        <v>4092.94</v>
      </c>
      <c r="H212" s="2">
        <v>32743.52</v>
      </c>
      <c r="I212" s="2">
        <v>24554.91</v>
      </c>
      <c r="J212" s="2">
        <v>8188.61</v>
      </c>
      <c r="K212" s="3">
        <v>46095</v>
      </c>
      <c r="L212" s="3">
        <v>46100</v>
      </c>
      <c r="M212" s="2" t="s">
        <v>123</v>
      </c>
      <c r="N212" s="2">
        <v>3</v>
      </c>
      <c r="O212" s="2" t="s">
        <v>46</v>
      </c>
      <c r="P212" s="25">
        <v>8.1999999999999993</v>
      </c>
      <c r="Q212" t="str">
        <f t="shared" si="28"/>
        <v>0211</v>
      </c>
      <c r="R212" t="str">
        <f>IF('RETAIL SALES DATA.'!H212&gt;AVERAGE('RETAIL SALES DATA.'!H212:H1211),"HIGHEST VALUE","LOWEST VALUE")</f>
        <v>HIGHEST VALUE</v>
      </c>
      <c r="S212" t="str">
        <f t="shared" si="29"/>
        <v>Profit</v>
      </c>
      <c r="T212" t="str">
        <f t="shared" si="30"/>
        <v>Sherry Mann</v>
      </c>
      <c r="U212" t="str">
        <f t="shared" si="31"/>
        <v>Smartphone</v>
      </c>
      <c r="V212">
        <f t="shared" si="32"/>
        <v>2026</v>
      </c>
      <c r="W212">
        <f t="shared" si="33"/>
        <v>3</v>
      </c>
      <c r="X212">
        <f t="shared" si="34"/>
        <v>14</v>
      </c>
      <c r="Y212" t="str">
        <f t="shared" si="35"/>
        <v>Mar</v>
      </c>
      <c r="Z212">
        <f t="shared" si="36"/>
        <v>5</v>
      </c>
    </row>
    <row r="213" spans="1:26" ht="15.75" customHeight="1" x14ac:dyDescent="0.3">
      <c r="A213" s="2" t="s">
        <v>618</v>
      </c>
      <c r="B213" s="2" t="s">
        <v>619</v>
      </c>
      <c r="C213" s="2" t="s">
        <v>42</v>
      </c>
      <c r="D213" s="2" t="s">
        <v>43</v>
      </c>
      <c r="E213" s="2" t="s">
        <v>20</v>
      </c>
      <c r="F213" s="2">
        <v>2</v>
      </c>
      <c r="G213" s="2">
        <v>4511.5200000000004</v>
      </c>
      <c r="H213" s="2">
        <v>9023.0400000000009</v>
      </c>
      <c r="I213" s="2">
        <v>5078.51</v>
      </c>
      <c r="J213" s="2">
        <v>3944.53</v>
      </c>
      <c r="K213" s="3">
        <v>45474</v>
      </c>
      <c r="L213" s="3">
        <v>45483</v>
      </c>
      <c r="M213" s="2" t="s">
        <v>21</v>
      </c>
      <c r="N213" s="2">
        <v>5</v>
      </c>
      <c r="O213" s="2" t="s">
        <v>620</v>
      </c>
      <c r="P213" s="25">
        <v>7.3</v>
      </c>
      <c r="Q213" t="str">
        <f t="shared" si="28"/>
        <v>0212</v>
      </c>
      <c r="R213" t="str">
        <f>IF('RETAIL SALES DATA.'!H213&gt;AVERAGE('RETAIL SALES DATA.'!H213:H1212),"HIGHEST VALUE","LOWEST VALUE")</f>
        <v>LOWEST VALUE</v>
      </c>
      <c r="S213" t="str">
        <f t="shared" si="29"/>
        <v>Profit</v>
      </c>
      <c r="T213" t="str">
        <f t="shared" si="30"/>
        <v>Terri Baker</v>
      </c>
      <c r="U213" t="str">
        <f t="shared" si="31"/>
        <v>Laptop</v>
      </c>
      <c r="V213">
        <f t="shared" si="32"/>
        <v>2024</v>
      </c>
      <c r="W213">
        <f t="shared" si="33"/>
        <v>7</v>
      </c>
      <c r="X213">
        <f t="shared" si="34"/>
        <v>1</v>
      </c>
      <c r="Y213" t="str">
        <f t="shared" si="35"/>
        <v>Jul</v>
      </c>
      <c r="Z213">
        <f t="shared" si="36"/>
        <v>9</v>
      </c>
    </row>
    <row r="214" spans="1:26" ht="15.75" customHeight="1" x14ac:dyDescent="0.3">
      <c r="A214" s="2" t="s">
        <v>621</v>
      </c>
      <c r="B214" s="2" t="s">
        <v>622</v>
      </c>
      <c r="C214" s="2" t="s">
        <v>30</v>
      </c>
      <c r="D214" s="2" t="s">
        <v>31</v>
      </c>
      <c r="E214" s="2" t="s">
        <v>25</v>
      </c>
      <c r="F214" s="2">
        <v>7</v>
      </c>
      <c r="G214" s="2">
        <v>1202.6199999999999</v>
      </c>
      <c r="H214" s="2">
        <v>8418.34</v>
      </c>
      <c r="I214" s="2">
        <v>4898.71</v>
      </c>
      <c r="J214" s="2">
        <v>3519.63</v>
      </c>
      <c r="K214" s="3">
        <v>45971</v>
      </c>
      <c r="L214" s="3">
        <v>45977</v>
      </c>
      <c r="M214" s="2" t="s">
        <v>181</v>
      </c>
      <c r="N214" s="2">
        <v>5</v>
      </c>
      <c r="O214" s="2" t="s">
        <v>499</v>
      </c>
      <c r="P214" s="25">
        <v>9</v>
      </c>
      <c r="Q214" t="str">
        <f t="shared" si="28"/>
        <v>0213</v>
      </c>
      <c r="R214" t="str">
        <f>IF('RETAIL SALES DATA.'!H214&gt;AVERAGE('RETAIL SALES DATA.'!H214:H1213),"HIGHEST VALUE","LOWEST VALUE")</f>
        <v>LOWEST VALUE</v>
      </c>
      <c r="S214" t="str">
        <f t="shared" si="29"/>
        <v>Profit</v>
      </c>
      <c r="T214" t="str">
        <f t="shared" si="30"/>
        <v>Ruben King</v>
      </c>
      <c r="U214" t="str">
        <f t="shared" si="31"/>
        <v>Desk</v>
      </c>
      <c r="V214">
        <f t="shared" si="32"/>
        <v>2025</v>
      </c>
      <c r="W214">
        <f t="shared" si="33"/>
        <v>11</v>
      </c>
      <c r="X214">
        <f t="shared" si="34"/>
        <v>10</v>
      </c>
      <c r="Y214" t="str">
        <f t="shared" si="35"/>
        <v>Nov</v>
      </c>
      <c r="Z214">
        <f t="shared" si="36"/>
        <v>6</v>
      </c>
    </row>
    <row r="215" spans="1:26" ht="15.75" customHeight="1" x14ac:dyDescent="0.3">
      <c r="A215" s="2" t="s">
        <v>623</v>
      </c>
      <c r="B215" s="2" t="s">
        <v>624</v>
      </c>
      <c r="C215" s="2" t="s">
        <v>30</v>
      </c>
      <c r="D215" s="2" t="s">
        <v>31</v>
      </c>
      <c r="E215" s="2" t="s">
        <v>32</v>
      </c>
      <c r="F215" s="2">
        <v>15</v>
      </c>
      <c r="G215" s="2">
        <v>3763.51</v>
      </c>
      <c r="H215" s="2">
        <v>56452.65</v>
      </c>
      <c r="I215" s="2">
        <v>32475.9</v>
      </c>
      <c r="J215" s="2">
        <v>23976.75</v>
      </c>
      <c r="K215" s="3">
        <v>46060</v>
      </c>
      <c r="L215" s="3">
        <v>46069</v>
      </c>
      <c r="M215" s="2" t="s">
        <v>45</v>
      </c>
      <c r="N215" s="2">
        <v>1</v>
      </c>
      <c r="O215" s="2" t="s">
        <v>300</v>
      </c>
      <c r="P215" s="25">
        <v>6.8</v>
      </c>
      <c r="Q215" t="str">
        <f t="shared" si="28"/>
        <v>0214</v>
      </c>
      <c r="R215" t="str">
        <f>IF('RETAIL SALES DATA.'!H215&gt;AVERAGE('RETAIL SALES DATA.'!H215:H1214),"HIGHEST VALUE","LOWEST VALUE")</f>
        <v>HIGHEST VALUE</v>
      </c>
      <c r="S215" t="str">
        <f t="shared" si="29"/>
        <v>Profit</v>
      </c>
      <c r="T215" t="str">
        <f t="shared" si="30"/>
        <v>Ruth Bell</v>
      </c>
      <c r="U215" t="str">
        <f t="shared" si="31"/>
        <v>Desk</v>
      </c>
      <c r="V215">
        <f t="shared" si="32"/>
        <v>2026</v>
      </c>
      <c r="W215">
        <f t="shared" si="33"/>
        <v>2</v>
      </c>
      <c r="X215">
        <f t="shared" si="34"/>
        <v>7</v>
      </c>
      <c r="Y215" t="str">
        <f t="shared" si="35"/>
        <v>Feb</v>
      </c>
      <c r="Z215">
        <f t="shared" si="36"/>
        <v>9</v>
      </c>
    </row>
    <row r="216" spans="1:26" ht="15.75" customHeight="1" x14ac:dyDescent="0.3">
      <c r="A216" s="2" t="s">
        <v>625</v>
      </c>
      <c r="B216" s="2" t="s">
        <v>626</v>
      </c>
      <c r="C216" s="2" t="s">
        <v>195</v>
      </c>
      <c r="D216" s="2" t="s">
        <v>43</v>
      </c>
      <c r="E216" s="2" t="s">
        <v>25</v>
      </c>
      <c r="F216" s="2">
        <v>2</v>
      </c>
      <c r="G216" s="2">
        <v>1925.14</v>
      </c>
      <c r="H216" s="2">
        <v>3850.28</v>
      </c>
      <c r="I216" s="2">
        <v>1950.25</v>
      </c>
      <c r="J216" s="2">
        <v>1900.03</v>
      </c>
      <c r="K216" s="3">
        <v>45656</v>
      </c>
      <c r="L216" s="3">
        <v>45664</v>
      </c>
      <c r="M216" s="2" t="s">
        <v>181</v>
      </c>
      <c r="N216" s="2">
        <v>3</v>
      </c>
      <c r="O216" s="2" t="s">
        <v>627</v>
      </c>
      <c r="P216" s="25">
        <v>8.3000000000000007</v>
      </c>
      <c r="Q216" t="str">
        <f t="shared" si="28"/>
        <v>0215</v>
      </c>
      <c r="R216" t="str">
        <f>IF('RETAIL SALES DATA.'!H216&gt;AVERAGE('RETAIL SALES DATA.'!H216:H1215),"HIGHEST VALUE","LOWEST VALUE")</f>
        <v>LOWEST VALUE</v>
      </c>
      <c r="S216" t="str">
        <f t="shared" si="29"/>
        <v>Profit</v>
      </c>
      <c r="T216" t="str">
        <f t="shared" si="30"/>
        <v>Javier Jones</v>
      </c>
      <c r="U216" t="str">
        <f t="shared" si="31"/>
        <v>Monitor</v>
      </c>
      <c r="V216">
        <f t="shared" si="32"/>
        <v>2024</v>
      </c>
      <c r="W216">
        <f t="shared" si="33"/>
        <v>1</v>
      </c>
      <c r="X216">
        <f t="shared" si="34"/>
        <v>30</v>
      </c>
      <c r="Y216" t="str">
        <f t="shared" si="35"/>
        <v>Dec</v>
      </c>
      <c r="Z216">
        <f t="shared" si="36"/>
        <v>8</v>
      </c>
    </row>
    <row r="217" spans="1:26" ht="15.75" customHeight="1" x14ac:dyDescent="0.3">
      <c r="A217" s="2" t="s">
        <v>628</v>
      </c>
      <c r="B217" s="2" t="s">
        <v>629</v>
      </c>
      <c r="C217" s="2" t="s">
        <v>30</v>
      </c>
      <c r="D217" s="2" t="s">
        <v>31</v>
      </c>
      <c r="E217" s="2" t="s">
        <v>32</v>
      </c>
      <c r="F217" s="2">
        <v>5</v>
      </c>
      <c r="G217" s="2">
        <v>2002.47</v>
      </c>
      <c r="H217" s="2">
        <v>10012.35</v>
      </c>
      <c r="I217" s="2">
        <v>6073.7</v>
      </c>
      <c r="J217" s="2">
        <v>3938.65</v>
      </c>
      <c r="K217" s="3">
        <v>45626</v>
      </c>
      <c r="L217" s="3">
        <v>45633</v>
      </c>
      <c r="M217" s="2" t="s">
        <v>21</v>
      </c>
      <c r="N217" s="2">
        <v>3</v>
      </c>
      <c r="O217" s="2" t="s">
        <v>220</v>
      </c>
      <c r="P217" s="25">
        <v>6.9</v>
      </c>
      <c r="Q217" t="str">
        <f t="shared" si="28"/>
        <v>0216</v>
      </c>
      <c r="R217" t="str">
        <f>IF('RETAIL SALES DATA.'!H217&gt;AVERAGE('RETAIL SALES DATA.'!H217:H1216),"HIGHEST VALUE","LOWEST VALUE")</f>
        <v>LOWEST VALUE</v>
      </c>
      <c r="S217" t="str">
        <f t="shared" si="29"/>
        <v>Profit</v>
      </c>
      <c r="T217" t="str">
        <f t="shared" si="30"/>
        <v>Joseph Brown</v>
      </c>
      <c r="U217" t="str">
        <f t="shared" si="31"/>
        <v>Desk</v>
      </c>
      <c r="V217">
        <f t="shared" si="32"/>
        <v>2024</v>
      </c>
      <c r="W217">
        <f t="shared" si="33"/>
        <v>12</v>
      </c>
      <c r="X217">
        <f t="shared" si="34"/>
        <v>30</v>
      </c>
      <c r="Y217" t="str">
        <f t="shared" si="35"/>
        <v>Nov</v>
      </c>
      <c r="Z217">
        <f t="shared" si="36"/>
        <v>7</v>
      </c>
    </row>
    <row r="218" spans="1:26" ht="15.75" customHeight="1" x14ac:dyDescent="0.3">
      <c r="A218" s="2" t="s">
        <v>630</v>
      </c>
      <c r="B218" s="2" t="s">
        <v>631</v>
      </c>
      <c r="C218" s="2" t="s">
        <v>88</v>
      </c>
      <c r="D218" s="2" t="s">
        <v>31</v>
      </c>
      <c r="E218" s="2" t="s">
        <v>25</v>
      </c>
      <c r="F218" s="2">
        <v>2</v>
      </c>
      <c r="G218" s="2">
        <v>3240.84</v>
      </c>
      <c r="H218" s="2">
        <v>6481.68</v>
      </c>
      <c r="I218" s="2">
        <v>4290.07</v>
      </c>
      <c r="J218" s="2">
        <v>2191.61</v>
      </c>
      <c r="K218" s="3">
        <v>45825</v>
      </c>
      <c r="L218" s="3">
        <v>45832</v>
      </c>
      <c r="M218" s="2" t="s">
        <v>38</v>
      </c>
      <c r="N218" s="2">
        <v>2</v>
      </c>
      <c r="O218" s="2" t="s">
        <v>632</v>
      </c>
      <c r="P218" s="25">
        <v>7.9</v>
      </c>
      <c r="Q218" t="str">
        <f t="shared" si="28"/>
        <v>0217</v>
      </c>
      <c r="R218" t="str">
        <f>IF('RETAIL SALES DATA.'!H218&gt;AVERAGE('RETAIL SALES DATA.'!H218:H1217),"HIGHEST VALUE","LOWEST VALUE")</f>
        <v>LOWEST VALUE</v>
      </c>
      <c r="S218" t="str">
        <f t="shared" si="29"/>
        <v>Profit</v>
      </c>
      <c r="T218" t="str">
        <f t="shared" si="30"/>
        <v>Victor Phillips</v>
      </c>
      <c r="U218" t="str">
        <f t="shared" si="31"/>
        <v>Cupboard</v>
      </c>
      <c r="V218">
        <f t="shared" si="32"/>
        <v>2025</v>
      </c>
      <c r="W218">
        <f t="shared" si="33"/>
        <v>6</v>
      </c>
      <c r="X218">
        <f t="shared" si="34"/>
        <v>17</v>
      </c>
      <c r="Y218" t="str">
        <f t="shared" si="35"/>
        <v>Jun</v>
      </c>
      <c r="Z218">
        <f t="shared" si="36"/>
        <v>7</v>
      </c>
    </row>
    <row r="219" spans="1:26" ht="15.75" customHeight="1" x14ac:dyDescent="0.3">
      <c r="A219" s="2" t="s">
        <v>633</v>
      </c>
      <c r="B219" s="2" t="s">
        <v>634</v>
      </c>
      <c r="C219" s="2" t="s">
        <v>88</v>
      </c>
      <c r="D219" s="2" t="s">
        <v>31</v>
      </c>
      <c r="E219" s="2" t="s">
        <v>44</v>
      </c>
      <c r="F219" s="2">
        <v>15</v>
      </c>
      <c r="G219" s="2">
        <v>3166.39</v>
      </c>
      <c r="H219" s="2">
        <v>47495.85</v>
      </c>
      <c r="I219" s="2">
        <v>34588.65</v>
      </c>
      <c r="J219" s="2">
        <v>12907.2</v>
      </c>
      <c r="K219" s="3">
        <v>46144</v>
      </c>
      <c r="L219" s="3">
        <v>46145</v>
      </c>
      <c r="M219" s="2" t="s">
        <v>50</v>
      </c>
      <c r="N219" s="2">
        <v>2</v>
      </c>
      <c r="O219" s="2" t="s">
        <v>635</v>
      </c>
      <c r="P219" s="25">
        <v>6.5</v>
      </c>
      <c r="Q219" t="str">
        <f t="shared" si="28"/>
        <v>0218</v>
      </c>
      <c r="R219" t="str">
        <f>IF('RETAIL SALES DATA.'!H219&gt;AVERAGE('RETAIL SALES DATA.'!H219:H1218),"HIGHEST VALUE","LOWEST VALUE")</f>
        <v>HIGHEST VALUE</v>
      </c>
      <c r="S219" t="str">
        <f t="shared" si="29"/>
        <v>Profit</v>
      </c>
      <c r="T219" t="str">
        <f t="shared" si="30"/>
        <v>Gabrielle Huynh</v>
      </c>
      <c r="U219" t="str">
        <f t="shared" si="31"/>
        <v>Cupboard</v>
      </c>
      <c r="V219">
        <f t="shared" si="32"/>
        <v>2026</v>
      </c>
      <c r="W219">
        <f t="shared" si="33"/>
        <v>5</v>
      </c>
      <c r="X219">
        <f t="shared" si="34"/>
        <v>2</v>
      </c>
      <c r="Y219" t="str">
        <f t="shared" si="35"/>
        <v>May</v>
      </c>
      <c r="Z219">
        <f t="shared" si="36"/>
        <v>1</v>
      </c>
    </row>
    <row r="220" spans="1:26" ht="15.75" customHeight="1" x14ac:dyDescent="0.3">
      <c r="A220" s="2" t="s">
        <v>636</v>
      </c>
      <c r="B220" s="2" t="s">
        <v>637</v>
      </c>
      <c r="C220" s="2" t="s">
        <v>30</v>
      </c>
      <c r="D220" s="2" t="s">
        <v>31</v>
      </c>
      <c r="E220" s="2" t="s">
        <v>44</v>
      </c>
      <c r="F220" s="2">
        <v>13</v>
      </c>
      <c r="G220" s="2">
        <v>1475.49</v>
      </c>
      <c r="H220" s="2">
        <v>19181.37</v>
      </c>
      <c r="I220" s="2">
        <v>11685.88</v>
      </c>
      <c r="J220" s="2">
        <v>7495.49</v>
      </c>
      <c r="K220" s="3">
        <v>46102</v>
      </c>
      <c r="L220" s="3">
        <v>46112</v>
      </c>
      <c r="M220" s="2" t="s">
        <v>33</v>
      </c>
      <c r="N220" s="2">
        <v>2</v>
      </c>
      <c r="O220" s="2" t="s">
        <v>638</v>
      </c>
      <c r="P220" s="25">
        <v>7.3</v>
      </c>
      <c r="Q220" t="str">
        <f t="shared" si="28"/>
        <v>0219</v>
      </c>
      <c r="R220" t="str">
        <f>IF('RETAIL SALES DATA.'!H220&gt;AVERAGE('RETAIL SALES DATA.'!H220:H1219),"HIGHEST VALUE","LOWEST VALUE")</f>
        <v>LOWEST VALUE</v>
      </c>
      <c r="S220" t="str">
        <f t="shared" si="29"/>
        <v>Profit</v>
      </c>
      <c r="T220" t="str">
        <f t="shared" si="30"/>
        <v>Alison Mitchell</v>
      </c>
      <c r="U220" t="str">
        <f t="shared" si="31"/>
        <v>Desk</v>
      </c>
      <c r="V220">
        <f t="shared" si="32"/>
        <v>2026</v>
      </c>
      <c r="W220">
        <f t="shared" si="33"/>
        <v>3</v>
      </c>
      <c r="X220">
        <f t="shared" si="34"/>
        <v>21</v>
      </c>
      <c r="Y220" t="str">
        <f t="shared" si="35"/>
        <v>Mar</v>
      </c>
      <c r="Z220">
        <f t="shared" si="36"/>
        <v>10</v>
      </c>
    </row>
    <row r="221" spans="1:26" ht="15.75" customHeight="1" x14ac:dyDescent="0.3">
      <c r="A221" s="2" t="s">
        <v>639</v>
      </c>
      <c r="B221" s="2" t="s">
        <v>640</v>
      </c>
      <c r="C221" s="2" t="s">
        <v>195</v>
      </c>
      <c r="D221" s="2" t="s">
        <v>43</v>
      </c>
      <c r="E221" s="2" t="s">
        <v>20</v>
      </c>
      <c r="F221" s="2">
        <v>18</v>
      </c>
      <c r="G221" s="2">
        <v>4891.6000000000004</v>
      </c>
      <c r="H221" s="2">
        <v>88048.8</v>
      </c>
      <c r="I221" s="2">
        <v>54269.120000000003</v>
      </c>
      <c r="J221" s="2">
        <v>33779.68</v>
      </c>
      <c r="K221" s="3">
        <v>45512</v>
      </c>
      <c r="L221" s="3">
        <v>45517</v>
      </c>
      <c r="M221" s="2" t="s">
        <v>181</v>
      </c>
      <c r="N221" s="2">
        <v>1</v>
      </c>
      <c r="O221" s="2" t="s">
        <v>148</v>
      </c>
      <c r="P221" s="25">
        <v>9.6</v>
      </c>
      <c r="Q221" t="str">
        <f t="shared" si="28"/>
        <v>0220</v>
      </c>
      <c r="R221" t="str">
        <f>IF('RETAIL SALES DATA.'!H221&gt;AVERAGE('RETAIL SALES DATA.'!H221:H1220),"HIGHEST VALUE","LOWEST VALUE")</f>
        <v>HIGHEST VALUE</v>
      </c>
      <c r="S221" t="str">
        <f t="shared" si="29"/>
        <v>Profit</v>
      </c>
      <c r="T221" t="str">
        <f t="shared" si="30"/>
        <v>Andrea Reynolds</v>
      </c>
      <c r="U221" t="str">
        <f t="shared" si="31"/>
        <v>Monitor</v>
      </c>
      <c r="V221">
        <f t="shared" si="32"/>
        <v>2024</v>
      </c>
      <c r="W221">
        <f t="shared" si="33"/>
        <v>8</v>
      </c>
      <c r="X221">
        <f t="shared" si="34"/>
        <v>8</v>
      </c>
      <c r="Y221" t="str">
        <f t="shared" si="35"/>
        <v>Aug</v>
      </c>
      <c r="Z221">
        <f t="shared" si="36"/>
        <v>5</v>
      </c>
    </row>
    <row r="222" spans="1:26" ht="15.75" customHeight="1" x14ac:dyDescent="0.3">
      <c r="A222" s="2" t="s">
        <v>641</v>
      </c>
      <c r="B222" s="2" t="s">
        <v>642</v>
      </c>
      <c r="C222" s="2" t="s">
        <v>37</v>
      </c>
      <c r="D222" s="2" t="s">
        <v>19</v>
      </c>
      <c r="E222" s="2" t="s">
        <v>25</v>
      </c>
      <c r="F222" s="2">
        <v>13</v>
      </c>
      <c r="G222" s="2">
        <v>4159.2700000000004</v>
      </c>
      <c r="H222" s="2">
        <v>54070.51</v>
      </c>
      <c r="I222" s="2">
        <v>40574.720000000001</v>
      </c>
      <c r="J222" s="2">
        <v>13495.79</v>
      </c>
      <c r="K222" s="3">
        <v>46018</v>
      </c>
      <c r="L222" s="3">
        <v>46021</v>
      </c>
      <c r="M222" s="2" t="s">
        <v>181</v>
      </c>
      <c r="N222" s="2">
        <v>2</v>
      </c>
      <c r="O222" s="2" t="s">
        <v>175</v>
      </c>
      <c r="P222" s="25">
        <v>9</v>
      </c>
      <c r="Q222" t="str">
        <f t="shared" si="28"/>
        <v>0221</v>
      </c>
      <c r="R222" t="str">
        <f>IF('RETAIL SALES DATA.'!H222&gt;AVERAGE('RETAIL SALES DATA.'!H222:H1221),"HIGHEST VALUE","LOWEST VALUE")</f>
        <v>HIGHEST VALUE</v>
      </c>
      <c r="S222" t="str">
        <f t="shared" si="29"/>
        <v>Profit</v>
      </c>
      <c r="T222" t="str">
        <f t="shared" si="30"/>
        <v>Julie Schmidt</v>
      </c>
      <c r="U222" t="str">
        <f t="shared" si="31"/>
        <v>Marker</v>
      </c>
      <c r="V222">
        <f t="shared" si="32"/>
        <v>2025</v>
      </c>
      <c r="W222">
        <f t="shared" si="33"/>
        <v>12</v>
      </c>
      <c r="X222">
        <f t="shared" si="34"/>
        <v>27</v>
      </c>
      <c r="Y222" t="str">
        <f t="shared" si="35"/>
        <v>Dec</v>
      </c>
      <c r="Z222">
        <f t="shared" si="36"/>
        <v>3</v>
      </c>
    </row>
    <row r="223" spans="1:26" ht="15.75" customHeight="1" x14ac:dyDescent="0.3">
      <c r="A223" s="2" t="s">
        <v>643</v>
      </c>
      <c r="B223" s="2" t="s">
        <v>644</v>
      </c>
      <c r="C223" s="2" t="s">
        <v>30</v>
      </c>
      <c r="D223" s="2" t="s">
        <v>31</v>
      </c>
      <c r="E223" s="2" t="s">
        <v>25</v>
      </c>
      <c r="F223" s="2">
        <v>14</v>
      </c>
      <c r="G223" s="2">
        <v>3086.92</v>
      </c>
      <c r="H223" s="2">
        <v>43216.88</v>
      </c>
      <c r="I223" s="2">
        <v>22074.14</v>
      </c>
      <c r="J223" s="2">
        <v>21142.74</v>
      </c>
      <c r="K223" s="3">
        <v>46121</v>
      </c>
      <c r="L223" s="3">
        <v>46125</v>
      </c>
      <c r="M223" s="2" t="s">
        <v>181</v>
      </c>
      <c r="N223" s="2">
        <v>1</v>
      </c>
      <c r="O223" s="2" t="s">
        <v>645</v>
      </c>
      <c r="P223" s="25">
        <v>9.9</v>
      </c>
      <c r="Q223" t="str">
        <f t="shared" si="28"/>
        <v>0222</v>
      </c>
      <c r="R223" t="str">
        <f>IF('RETAIL SALES DATA.'!H223&gt;AVERAGE('RETAIL SALES DATA.'!H223:H1222),"HIGHEST VALUE","LOWEST VALUE")</f>
        <v>HIGHEST VALUE</v>
      </c>
      <c r="S223" t="str">
        <f t="shared" si="29"/>
        <v>Profit</v>
      </c>
      <c r="T223" t="str">
        <f t="shared" si="30"/>
        <v>Erin May</v>
      </c>
      <c r="U223" t="str">
        <f t="shared" si="31"/>
        <v>Desk</v>
      </c>
      <c r="V223">
        <f t="shared" si="32"/>
        <v>2026</v>
      </c>
      <c r="W223">
        <f t="shared" si="33"/>
        <v>4</v>
      </c>
      <c r="X223">
        <f t="shared" si="34"/>
        <v>9</v>
      </c>
      <c r="Y223" t="str">
        <f t="shared" si="35"/>
        <v>Apr</v>
      </c>
      <c r="Z223">
        <f t="shared" si="36"/>
        <v>4</v>
      </c>
    </row>
    <row r="224" spans="1:26" ht="15.75" customHeight="1" x14ac:dyDescent="0.3">
      <c r="A224" s="2" t="s">
        <v>646</v>
      </c>
      <c r="B224" s="2" t="s">
        <v>647</v>
      </c>
      <c r="C224" s="2" t="s">
        <v>168</v>
      </c>
      <c r="D224" s="2" t="s">
        <v>43</v>
      </c>
      <c r="E224" s="2" t="s">
        <v>32</v>
      </c>
      <c r="F224" s="2">
        <v>18</v>
      </c>
      <c r="G224" s="2">
        <v>3711.43</v>
      </c>
      <c r="H224" s="2">
        <v>66805.740000000005</v>
      </c>
      <c r="I224" s="2">
        <v>35414.51</v>
      </c>
      <c r="J224" s="2">
        <v>31391.23</v>
      </c>
      <c r="K224" s="3">
        <v>45828</v>
      </c>
      <c r="L224" s="3">
        <v>45832</v>
      </c>
      <c r="M224" s="2" t="s">
        <v>69</v>
      </c>
      <c r="N224" s="2">
        <v>4</v>
      </c>
      <c r="O224" s="2" t="s">
        <v>648</v>
      </c>
      <c r="P224" s="25">
        <v>6.9</v>
      </c>
      <c r="Q224" t="str">
        <f t="shared" si="28"/>
        <v>0223</v>
      </c>
      <c r="R224" t="str">
        <f>IF('RETAIL SALES DATA.'!H224&gt;AVERAGE('RETAIL SALES DATA.'!H224:H1223),"HIGHEST VALUE","LOWEST VALUE")</f>
        <v>HIGHEST VALUE</v>
      </c>
      <c r="S224" t="str">
        <f t="shared" si="29"/>
        <v>Profit</v>
      </c>
      <c r="T224" t="str">
        <f t="shared" si="30"/>
        <v>Eric Gibson</v>
      </c>
      <c r="U224" t="str">
        <f t="shared" si="31"/>
        <v>Keyboard</v>
      </c>
      <c r="V224">
        <f t="shared" si="32"/>
        <v>2025</v>
      </c>
      <c r="W224">
        <f t="shared" si="33"/>
        <v>6</v>
      </c>
      <c r="X224">
        <f t="shared" si="34"/>
        <v>20</v>
      </c>
      <c r="Y224" t="str">
        <f t="shared" si="35"/>
        <v>Jun</v>
      </c>
      <c r="Z224">
        <f t="shared" si="36"/>
        <v>4</v>
      </c>
    </row>
    <row r="225" spans="1:26" ht="15.75" customHeight="1" x14ac:dyDescent="0.3">
      <c r="A225" s="2" t="s">
        <v>649</v>
      </c>
      <c r="B225" s="2" t="s">
        <v>650</v>
      </c>
      <c r="C225" s="2" t="s">
        <v>95</v>
      </c>
      <c r="D225" s="2" t="s">
        <v>19</v>
      </c>
      <c r="E225" s="2" t="s">
        <v>44</v>
      </c>
      <c r="F225" s="2">
        <v>5</v>
      </c>
      <c r="G225" s="2">
        <v>396.73</v>
      </c>
      <c r="H225" s="2">
        <v>1983.65</v>
      </c>
      <c r="I225" s="2">
        <v>1170.8399999999999</v>
      </c>
      <c r="J225" s="2">
        <v>812.81</v>
      </c>
      <c r="K225" s="3">
        <v>46111</v>
      </c>
      <c r="L225" s="3">
        <v>46121</v>
      </c>
      <c r="M225" s="2" t="s">
        <v>45</v>
      </c>
      <c r="N225" s="2">
        <v>4</v>
      </c>
      <c r="O225" s="2" t="s">
        <v>651</v>
      </c>
      <c r="P225" s="25">
        <v>7.1</v>
      </c>
      <c r="Q225" t="str">
        <f t="shared" si="28"/>
        <v>0224</v>
      </c>
      <c r="R225" t="str">
        <f>IF('RETAIL SALES DATA.'!H225&gt;AVERAGE('RETAIL SALES DATA.'!H225:H1224),"HIGHEST VALUE","LOWEST VALUE")</f>
        <v>LOWEST VALUE</v>
      </c>
      <c r="S225" t="str">
        <f t="shared" si="29"/>
        <v>Profit</v>
      </c>
      <c r="T225" t="str">
        <f t="shared" si="30"/>
        <v>John Lewis</v>
      </c>
      <c r="U225" t="str">
        <f t="shared" si="31"/>
        <v>Printer</v>
      </c>
      <c r="V225">
        <f t="shared" si="32"/>
        <v>2026</v>
      </c>
      <c r="W225">
        <f t="shared" si="33"/>
        <v>4</v>
      </c>
      <c r="X225">
        <f t="shared" si="34"/>
        <v>30</v>
      </c>
      <c r="Y225" t="str">
        <f t="shared" si="35"/>
        <v>Mar</v>
      </c>
      <c r="Z225">
        <f t="shared" si="36"/>
        <v>10</v>
      </c>
    </row>
    <row r="226" spans="1:26" ht="15.75" customHeight="1" x14ac:dyDescent="0.3">
      <c r="A226" s="2" t="s">
        <v>652</v>
      </c>
      <c r="B226" s="2" t="s">
        <v>653</v>
      </c>
      <c r="C226" s="2" t="s">
        <v>62</v>
      </c>
      <c r="D226" s="2" t="s">
        <v>31</v>
      </c>
      <c r="E226" s="2" t="s">
        <v>32</v>
      </c>
      <c r="F226" s="2">
        <v>9</v>
      </c>
      <c r="G226" s="2">
        <v>3163.08</v>
      </c>
      <c r="H226" s="2">
        <v>28467.72</v>
      </c>
      <c r="I226" s="2">
        <v>22627.62</v>
      </c>
      <c r="J226" s="2">
        <v>5840.1</v>
      </c>
      <c r="K226" s="3">
        <v>45566</v>
      </c>
      <c r="L226" s="3">
        <v>45573</v>
      </c>
      <c r="M226" s="2" t="s">
        <v>38</v>
      </c>
      <c r="N226" s="2">
        <v>5</v>
      </c>
      <c r="O226" s="2" t="s">
        <v>615</v>
      </c>
      <c r="P226" s="25">
        <v>8.4</v>
      </c>
      <c r="Q226" t="str">
        <f t="shared" si="28"/>
        <v>0225</v>
      </c>
      <c r="R226" t="str">
        <f>IF('RETAIL SALES DATA.'!H226&gt;AVERAGE('RETAIL SALES DATA.'!H226:H1225),"HIGHEST VALUE","LOWEST VALUE")</f>
        <v>HIGHEST VALUE</v>
      </c>
      <c r="S226" t="str">
        <f t="shared" si="29"/>
        <v>Profit</v>
      </c>
      <c r="T226" t="str">
        <f t="shared" si="30"/>
        <v>Lisa Lucas</v>
      </c>
      <c r="U226" t="str">
        <f t="shared" si="31"/>
        <v>Table</v>
      </c>
      <c r="V226">
        <f t="shared" si="32"/>
        <v>2024</v>
      </c>
      <c r="W226">
        <f t="shared" si="33"/>
        <v>10</v>
      </c>
      <c r="X226">
        <f t="shared" si="34"/>
        <v>1</v>
      </c>
      <c r="Y226" t="str">
        <f t="shared" si="35"/>
        <v>Oct</v>
      </c>
      <c r="Z226">
        <f t="shared" si="36"/>
        <v>7</v>
      </c>
    </row>
    <row r="227" spans="1:26" ht="15.75" customHeight="1" x14ac:dyDescent="0.3">
      <c r="A227" s="2" t="s">
        <v>654</v>
      </c>
      <c r="B227" s="2" t="s">
        <v>655</v>
      </c>
      <c r="C227" s="2" t="s">
        <v>49</v>
      </c>
      <c r="D227" s="2" t="s">
        <v>43</v>
      </c>
      <c r="E227" s="2" t="s">
        <v>32</v>
      </c>
      <c r="F227" s="2">
        <v>13</v>
      </c>
      <c r="G227" s="2">
        <v>4531.71</v>
      </c>
      <c r="H227" s="2">
        <v>58912.23</v>
      </c>
      <c r="I227" s="2">
        <v>42232.1</v>
      </c>
      <c r="J227" s="2">
        <v>16680.13</v>
      </c>
      <c r="K227" s="3">
        <v>45829</v>
      </c>
      <c r="L227" s="3">
        <v>45830</v>
      </c>
      <c r="M227" s="2" t="s">
        <v>123</v>
      </c>
      <c r="N227" s="2">
        <v>4</v>
      </c>
      <c r="O227" s="2" t="s">
        <v>394</v>
      </c>
      <c r="P227" s="25">
        <v>9.3000000000000007</v>
      </c>
      <c r="Q227" t="str">
        <f t="shared" si="28"/>
        <v>0226</v>
      </c>
      <c r="R227" t="str">
        <f>IF('RETAIL SALES DATA.'!H227&gt;AVERAGE('RETAIL SALES DATA.'!H227:H1226),"HIGHEST VALUE","LOWEST VALUE")</f>
        <v>HIGHEST VALUE</v>
      </c>
      <c r="S227" t="str">
        <f t="shared" si="29"/>
        <v>Profit</v>
      </c>
      <c r="T227" t="str">
        <f t="shared" si="30"/>
        <v>Melissa Adams</v>
      </c>
      <c r="U227" t="str">
        <f t="shared" si="31"/>
        <v>Mouse</v>
      </c>
      <c r="V227">
        <f t="shared" si="32"/>
        <v>2025</v>
      </c>
      <c r="W227">
        <f t="shared" si="33"/>
        <v>6</v>
      </c>
      <c r="X227">
        <f t="shared" si="34"/>
        <v>21</v>
      </c>
      <c r="Y227" t="str">
        <f t="shared" si="35"/>
        <v>Jun</v>
      </c>
      <c r="Z227">
        <f t="shared" si="36"/>
        <v>1</v>
      </c>
    </row>
    <row r="228" spans="1:26" ht="15.75" customHeight="1" x14ac:dyDescent="0.3">
      <c r="A228" s="2" t="s">
        <v>656</v>
      </c>
      <c r="B228" s="2" t="s">
        <v>657</v>
      </c>
      <c r="C228" s="2" t="s">
        <v>49</v>
      </c>
      <c r="D228" s="2" t="s">
        <v>43</v>
      </c>
      <c r="E228" s="2" t="s">
        <v>44</v>
      </c>
      <c r="F228" s="2">
        <v>12</v>
      </c>
      <c r="G228" s="2">
        <v>1301.47</v>
      </c>
      <c r="H228" s="2">
        <v>15617.64</v>
      </c>
      <c r="I228" s="2">
        <v>10195.879999999999</v>
      </c>
      <c r="J228" s="2">
        <v>5421.76</v>
      </c>
      <c r="K228" s="3">
        <v>45525</v>
      </c>
      <c r="L228" s="3">
        <v>45526</v>
      </c>
      <c r="M228" s="2" t="s">
        <v>181</v>
      </c>
      <c r="N228" s="2">
        <v>1</v>
      </c>
      <c r="O228" s="2" t="s">
        <v>658</v>
      </c>
      <c r="P228" s="25">
        <v>8.6999999999999993</v>
      </c>
      <c r="Q228" t="str">
        <f t="shared" si="28"/>
        <v>0227</v>
      </c>
      <c r="R228" t="str">
        <f>IF('RETAIL SALES DATA.'!H228&gt;AVERAGE('RETAIL SALES DATA.'!H228:H1227),"HIGHEST VALUE","LOWEST VALUE")</f>
        <v>LOWEST VALUE</v>
      </c>
      <c r="S228" t="str">
        <f t="shared" si="29"/>
        <v>Profit</v>
      </c>
      <c r="T228" t="str">
        <f t="shared" si="30"/>
        <v>David Calhoun</v>
      </c>
      <c r="U228" t="str">
        <f t="shared" si="31"/>
        <v>Mouse</v>
      </c>
      <c r="V228">
        <f t="shared" si="32"/>
        <v>2024</v>
      </c>
      <c r="W228">
        <f t="shared" si="33"/>
        <v>8</v>
      </c>
      <c r="X228">
        <f t="shared" si="34"/>
        <v>21</v>
      </c>
      <c r="Y228" t="str">
        <f t="shared" si="35"/>
        <v>Aug</v>
      </c>
      <c r="Z228">
        <f t="shared" si="36"/>
        <v>1</v>
      </c>
    </row>
    <row r="229" spans="1:26" ht="15.75" customHeight="1" x14ac:dyDescent="0.3">
      <c r="A229" s="2" t="s">
        <v>659</v>
      </c>
      <c r="B229" s="2" t="s">
        <v>660</v>
      </c>
      <c r="C229" s="2" t="s">
        <v>49</v>
      </c>
      <c r="D229" s="2" t="s">
        <v>43</v>
      </c>
      <c r="E229" s="2" t="s">
        <v>20</v>
      </c>
      <c r="F229" s="2">
        <v>14</v>
      </c>
      <c r="G229" s="2">
        <v>2870.44</v>
      </c>
      <c r="H229" s="2">
        <v>40186.160000000003</v>
      </c>
      <c r="I229" s="2">
        <v>34519.67</v>
      </c>
      <c r="J229" s="2">
        <v>5666.49</v>
      </c>
      <c r="K229" s="3">
        <v>46000</v>
      </c>
      <c r="L229" s="3">
        <v>46004</v>
      </c>
      <c r="M229" s="2" t="s">
        <v>33</v>
      </c>
      <c r="N229" s="2">
        <v>1</v>
      </c>
      <c r="O229" s="2" t="s">
        <v>391</v>
      </c>
      <c r="P229" s="25">
        <v>6.3</v>
      </c>
      <c r="Q229" t="str">
        <f t="shared" si="28"/>
        <v>0228</v>
      </c>
      <c r="R229" t="str">
        <f>IF('RETAIL SALES DATA.'!H229&gt;AVERAGE('RETAIL SALES DATA.'!H229:H1228),"HIGHEST VALUE","LOWEST VALUE")</f>
        <v>HIGHEST VALUE</v>
      </c>
      <c r="S229" t="str">
        <f t="shared" si="29"/>
        <v>Profit</v>
      </c>
      <c r="T229" t="str">
        <f t="shared" si="30"/>
        <v>Ashlee Richardson</v>
      </c>
      <c r="U229" t="str">
        <f t="shared" si="31"/>
        <v>Mouse</v>
      </c>
      <c r="V229">
        <f t="shared" si="32"/>
        <v>2025</v>
      </c>
      <c r="W229">
        <f t="shared" si="33"/>
        <v>12</v>
      </c>
      <c r="X229">
        <f t="shared" si="34"/>
        <v>9</v>
      </c>
      <c r="Y229" t="str">
        <f t="shared" si="35"/>
        <v>Dec</v>
      </c>
      <c r="Z229">
        <f t="shared" si="36"/>
        <v>4</v>
      </c>
    </row>
    <row r="230" spans="1:26" ht="15.75" customHeight="1" x14ac:dyDescent="0.3">
      <c r="A230" s="2" t="s">
        <v>661</v>
      </c>
      <c r="B230" s="2" t="s">
        <v>662</v>
      </c>
      <c r="C230" s="2" t="s">
        <v>139</v>
      </c>
      <c r="D230" s="2" t="s">
        <v>31</v>
      </c>
      <c r="E230" s="2" t="s">
        <v>32</v>
      </c>
      <c r="F230" s="2">
        <v>7</v>
      </c>
      <c r="G230" s="2">
        <v>3919.51</v>
      </c>
      <c r="H230" s="2">
        <v>27436.57</v>
      </c>
      <c r="I230" s="2">
        <v>14835.08</v>
      </c>
      <c r="J230" s="2">
        <v>12601.49</v>
      </c>
      <c r="K230" s="3">
        <v>45918</v>
      </c>
      <c r="L230" s="3">
        <v>45920</v>
      </c>
      <c r="M230" s="2" t="s">
        <v>123</v>
      </c>
      <c r="N230" s="2">
        <v>5</v>
      </c>
      <c r="O230" s="2" t="s">
        <v>663</v>
      </c>
      <c r="P230" s="25">
        <v>9.5</v>
      </c>
      <c r="Q230" t="str">
        <f t="shared" si="28"/>
        <v>0229</v>
      </c>
      <c r="R230" t="str">
        <f>IF('RETAIL SALES DATA.'!H230&gt;AVERAGE('RETAIL SALES DATA.'!H230:H1229),"HIGHEST VALUE","LOWEST VALUE")</f>
        <v>HIGHEST VALUE</v>
      </c>
      <c r="S230" t="str">
        <f t="shared" si="29"/>
        <v>Profit</v>
      </c>
      <c r="T230" t="str">
        <f t="shared" si="30"/>
        <v>Heather Cox</v>
      </c>
      <c r="U230" t="str">
        <f t="shared" si="31"/>
        <v>Sofa</v>
      </c>
      <c r="V230">
        <f t="shared" si="32"/>
        <v>2025</v>
      </c>
      <c r="W230">
        <f t="shared" si="33"/>
        <v>9</v>
      </c>
      <c r="X230">
        <f t="shared" si="34"/>
        <v>18</v>
      </c>
      <c r="Y230" t="str">
        <f t="shared" si="35"/>
        <v>Sep</v>
      </c>
      <c r="Z230">
        <f t="shared" si="36"/>
        <v>2</v>
      </c>
    </row>
    <row r="231" spans="1:26" ht="15.75" customHeight="1" x14ac:dyDescent="0.3">
      <c r="A231" s="2" t="s">
        <v>664</v>
      </c>
      <c r="B231" s="2" t="s">
        <v>665</v>
      </c>
      <c r="C231" s="2" t="s">
        <v>72</v>
      </c>
      <c r="D231" s="2" t="s">
        <v>31</v>
      </c>
      <c r="E231" s="2" t="s">
        <v>44</v>
      </c>
      <c r="F231" s="2">
        <v>19</v>
      </c>
      <c r="G231" s="2">
        <v>809.32</v>
      </c>
      <c r="H231" s="2">
        <v>15377.08</v>
      </c>
      <c r="I231" s="2">
        <v>10948.25</v>
      </c>
      <c r="J231" s="2">
        <v>4428.83</v>
      </c>
      <c r="K231" s="3">
        <v>45871</v>
      </c>
      <c r="L231" s="3">
        <v>45876</v>
      </c>
      <c r="M231" s="2" t="s">
        <v>26</v>
      </c>
      <c r="N231" s="2">
        <v>3</v>
      </c>
      <c r="O231" s="2" t="s">
        <v>27</v>
      </c>
      <c r="P231" s="25">
        <v>9.1</v>
      </c>
      <c r="Q231" t="str">
        <f t="shared" si="28"/>
        <v>0230</v>
      </c>
      <c r="R231" t="str">
        <f>IF('RETAIL SALES DATA.'!H231&gt;AVERAGE('RETAIL SALES DATA.'!H231:H1230),"HIGHEST VALUE","LOWEST VALUE")</f>
        <v>LOWEST VALUE</v>
      </c>
      <c r="S231" t="str">
        <f t="shared" si="29"/>
        <v>Profit</v>
      </c>
      <c r="T231" t="str">
        <f t="shared" si="30"/>
        <v>Christy Thompson</v>
      </c>
      <c r="U231" t="str">
        <f t="shared" si="31"/>
        <v>Chair</v>
      </c>
      <c r="V231">
        <f t="shared" si="32"/>
        <v>2025</v>
      </c>
      <c r="W231">
        <f t="shared" si="33"/>
        <v>8</v>
      </c>
      <c r="X231">
        <f t="shared" si="34"/>
        <v>2</v>
      </c>
      <c r="Y231" t="str">
        <f t="shared" si="35"/>
        <v>Aug</v>
      </c>
      <c r="Z231">
        <f t="shared" si="36"/>
        <v>5</v>
      </c>
    </row>
    <row r="232" spans="1:26" ht="15.75" customHeight="1" x14ac:dyDescent="0.3">
      <c r="A232" s="2" t="s">
        <v>666</v>
      </c>
      <c r="B232" s="2" t="s">
        <v>667</v>
      </c>
      <c r="C232" s="2" t="s">
        <v>42</v>
      </c>
      <c r="D232" s="2" t="s">
        <v>43</v>
      </c>
      <c r="E232" s="2" t="s">
        <v>44</v>
      </c>
      <c r="F232" s="2">
        <v>17</v>
      </c>
      <c r="G232" s="2">
        <v>3704.22</v>
      </c>
      <c r="H232" s="2">
        <v>62971.74</v>
      </c>
      <c r="I232" s="2">
        <v>54669.84</v>
      </c>
      <c r="J232" s="2">
        <v>8301.9</v>
      </c>
      <c r="K232" s="3">
        <v>45696</v>
      </c>
      <c r="L232" s="3">
        <v>45704</v>
      </c>
      <c r="M232" s="2" t="s">
        <v>33</v>
      </c>
      <c r="N232" s="2">
        <v>5</v>
      </c>
      <c r="O232" s="2" t="s">
        <v>51</v>
      </c>
      <c r="P232" s="25">
        <v>8.3000000000000007</v>
      </c>
      <c r="Q232" t="str">
        <f t="shared" si="28"/>
        <v>0231</v>
      </c>
      <c r="R232" t="str">
        <f>IF('RETAIL SALES DATA.'!H232&gt;AVERAGE('RETAIL SALES DATA.'!H232:H1231),"HIGHEST VALUE","LOWEST VALUE")</f>
        <v>HIGHEST VALUE</v>
      </c>
      <c r="S232" t="str">
        <f t="shared" si="29"/>
        <v>Profit</v>
      </c>
      <c r="T232" t="str">
        <f t="shared" si="30"/>
        <v>Antonio Clark</v>
      </c>
      <c r="U232" t="str">
        <f t="shared" si="31"/>
        <v>Laptop</v>
      </c>
      <c r="V232">
        <f t="shared" si="32"/>
        <v>2025</v>
      </c>
      <c r="W232">
        <f t="shared" si="33"/>
        <v>2</v>
      </c>
      <c r="X232">
        <f t="shared" si="34"/>
        <v>8</v>
      </c>
      <c r="Y232" t="str">
        <f t="shared" si="35"/>
        <v>Feb</v>
      </c>
      <c r="Z232">
        <f t="shared" si="36"/>
        <v>8</v>
      </c>
    </row>
    <row r="233" spans="1:26" ht="15.75" customHeight="1" x14ac:dyDescent="0.3">
      <c r="A233" s="2" t="s">
        <v>668</v>
      </c>
      <c r="B233" s="2" t="s">
        <v>669</v>
      </c>
      <c r="C233" s="2" t="s">
        <v>18</v>
      </c>
      <c r="D233" s="2" t="s">
        <v>19</v>
      </c>
      <c r="E233" s="2" t="s">
        <v>25</v>
      </c>
      <c r="F233" s="2">
        <v>18</v>
      </c>
      <c r="G233" s="2">
        <v>4807.76</v>
      </c>
      <c r="H233" s="2">
        <v>86539.68</v>
      </c>
      <c r="I233" s="2">
        <v>54560.62</v>
      </c>
      <c r="J233" s="2">
        <v>31979.06</v>
      </c>
      <c r="K233" s="3">
        <v>45691</v>
      </c>
      <c r="L233" s="3">
        <v>45700</v>
      </c>
      <c r="M233" s="2" t="s">
        <v>33</v>
      </c>
      <c r="N233" s="2">
        <v>2</v>
      </c>
      <c r="O233" s="2" t="s">
        <v>509</v>
      </c>
      <c r="P233" s="25">
        <v>8.4</v>
      </c>
      <c r="Q233" t="str">
        <f t="shared" si="28"/>
        <v>0232</v>
      </c>
      <c r="R233" t="str">
        <f>IF('RETAIL SALES DATA.'!H233&gt;AVERAGE('RETAIL SALES DATA.'!H233:H1232),"HIGHEST VALUE","LOWEST VALUE")</f>
        <v>HIGHEST VALUE</v>
      </c>
      <c r="S233" t="str">
        <f t="shared" si="29"/>
        <v>Profit</v>
      </c>
      <c r="T233" t="str">
        <f t="shared" si="30"/>
        <v>Christopher Sandoval</v>
      </c>
      <c r="U233" t="str">
        <f t="shared" si="31"/>
        <v>Pen</v>
      </c>
      <c r="V233">
        <f t="shared" si="32"/>
        <v>2025</v>
      </c>
      <c r="W233">
        <f t="shared" si="33"/>
        <v>2</v>
      </c>
      <c r="X233">
        <f t="shared" si="34"/>
        <v>3</v>
      </c>
      <c r="Y233" t="str">
        <f t="shared" si="35"/>
        <v>Feb</v>
      </c>
      <c r="Z233">
        <f t="shared" si="36"/>
        <v>9</v>
      </c>
    </row>
    <row r="234" spans="1:26" ht="15.75" customHeight="1" x14ac:dyDescent="0.3">
      <c r="A234" s="2" t="s">
        <v>670</v>
      </c>
      <c r="B234" s="2" t="s">
        <v>671</v>
      </c>
      <c r="C234" s="2" t="s">
        <v>49</v>
      </c>
      <c r="D234" s="2" t="s">
        <v>43</v>
      </c>
      <c r="E234" s="2" t="s">
        <v>44</v>
      </c>
      <c r="F234" s="2">
        <v>18</v>
      </c>
      <c r="G234" s="2">
        <v>1636.4</v>
      </c>
      <c r="H234" s="2">
        <v>29455.200000000001</v>
      </c>
      <c r="I234" s="2">
        <v>20544.47</v>
      </c>
      <c r="J234" s="2">
        <v>8910.73</v>
      </c>
      <c r="K234" s="3">
        <v>46120</v>
      </c>
      <c r="L234" s="3">
        <v>46125</v>
      </c>
      <c r="M234" s="2" t="s">
        <v>181</v>
      </c>
      <c r="N234" s="2">
        <v>4</v>
      </c>
      <c r="O234" s="2" t="s">
        <v>672</v>
      </c>
      <c r="P234" s="25">
        <v>9.6</v>
      </c>
      <c r="Q234" t="str">
        <f t="shared" si="28"/>
        <v>0233</v>
      </c>
      <c r="R234" t="str">
        <f>IF('RETAIL SALES DATA.'!H234&gt;AVERAGE('RETAIL SALES DATA.'!H234:H1233),"HIGHEST VALUE","LOWEST VALUE")</f>
        <v>HIGHEST VALUE</v>
      </c>
      <c r="S234" t="str">
        <f t="shared" si="29"/>
        <v>Profit</v>
      </c>
      <c r="T234" t="str">
        <f t="shared" si="30"/>
        <v>Heather Charles</v>
      </c>
      <c r="U234" t="str">
        <f t="shared" si="31"/>
        <v>Mouse</v>
      </c>
      <c r="V234">
        <f t="shared" si="32"/>
        <v>2026</v>
      </c>
      <c r="W234">
        <f t="shared" si="33"/>
        <v>4</v>
      </c>
      <c r="X234">
        <f t="shared" si="34"/>
        <v>8</v>
      </c>
      <c r="Y234" t="str">
        <f t="shared" si="35"/>
        <v>Apr</v>
      </c>
      <c r="Z234">
        <f t="shared" si="36"/>
        <v>5</v>
      </c>
    </row>
    <row r="235" spans="1:26" ht="15.75" customHeight="1" x14ac:dyDescent="0.3">
      <c r="A235" s="2" t="s">
        <v>673</v>
      </c>
      <c r="B235" s="2" t="s">
        <v>674</v>
      </c>
      <c r="C235" s="2" t="s">
        <v>72</v>
      </c>
      <c r="D235" s="2" t="s">
        <v>31</v>
      </c>
      <c r="E235" s="2" t="s">
        <v>25</v>
      </c>
      <c r="F235" s="2">
        <v>8</v>
      </c>
      <c r="G235" s="2">
        <v>2130.83</v>
      </c>
      <c r="H235" s="2">
        <v>17046.64</v>
      </c>
      <c r="I235" s="2">
        <v>8752.6299999999992</v>
      </c>
      <c r="J235" s="2">
        <v>8294.01</v>
      </c>
      <c r="K235" s="3">
        <v>45767</v>
      </c>
      <c r="L235" s="3">
        <v>45775</v>
      </c>
      <c r="M235" s="2" t="s">
        <v>58</v>
      </c>
      <c r="N235" s="2">
        <v>1</v>
      </c>
      <c r="O235" s="2" t="s">
        <v>267</v>
      </c>
      <c r="P235" s="25">
        <v>6.8</v>
      </c>
      <c r="Q235" t="str">
        <f t="shared" si="28"/>
        <v>0234</v>
      </c>
      <c r="R235" t="str">
        <f>IF('RETAIL SALES DATA.'!H235&gt;AVERAGE('RETAIL SALES DATA.'!H235:H1234),"HIGHEST VALUE","LOWEST VALUE")</f>
        <v>LOWEST VALUE</v>
      </c>
      <c r="S235" t="str">
        <f t="shared" si="29"/>
        <v>Profit</v>
      </c>
      <c r="T235" t="str">
        <f t="shared" si="30"/>
        <v>Dustin Cole</v>
      </c>
      <c r="U235" t="str">
        <f t="shared" si="31"/>
        <v>Chair</v>
      </c>
      <c r="V235">
        <f t="shared" si="32"/>
        <v>2025</v>
      </c>
      <c r="W235">
        <f t="shared" si="33"/>
        <v>4</v>
      </c>
      <c r="X235">
        <f t="shared" si="34"/>
        <v>20</v>
      </c>
      <c r="Y235" t="str">
        <f t="shared" si="35"/>
        <v>Apr</v>
      </c>
      <c r="Z235">
        <f t="shared" si="36"/>
        <v>8</v>
      </c>
    </row>
    <row r="236" spans="1:26" ht="15.75" customHeight="1" x14ac:dyDescent="0.3">
      <c r="A236" s="2" t="s">
        <v>675</v>
      </c>
      <c r="B236" s="2" t="s">
        <v>676</v>
      </c>
      <c r="C236" s="2" t="s">
        <v>37</v>
      </c>
      <c r="D236" s="2" t="s">
        <v>19</v>
      </c>
      <c r="E236" s="2" t="s">
        <v>44</v>
      </c>
      <c r="F236" s="2">
        <v>19</v>
      </c>
      <c r="G236" s="2">
        <v>412.07</v>
      </c>
      <c r="H236" s="2">
        <v>7829.33</v>
      </c>
      <c r="I236" s="2">
        <v>5495.38</v>
      </c>
      <c r="J236" s="2">
        <v>2333.9499999999998</v>
      </c>
      <c r="K236" s="3">
        <v>45931</v>
      </c>
      <c r="L236" s="3">
        <v>45936</v>
      </c>
      <c r="M236" s="2" t="s">
        <v>21</v>
      </c>
      <c r="N236" s="2">
        <v>2</v>
      </c>
      <c r="O236" s="2" t="s">
        <v>493</v>
      </c>
      <c r="P236" s="25">
        <v>7.8</v>
      </c>
      <c r="Q236" t="str">
        <f t="shared" si="28"/>
        <v>0235</v>
      </c>
      <c r="R236" t="str">
        <f>IF('RETAIL SALES DATA.'!H236&gt;AVERAGE('RETAIL SALES DATA.'!H236:H1235),"HIGHEST VALUE","LOWEST VALUE")</f>
        <v>LOWEST VALUE</v>
      </c>
      <c r="S236" t="str">
        <f t="shared" si="29"/>
        <v>Profit</v>
      </c>
      <c r="T236" t="str">
        <f t="shared" si="30"/>
        <v>Jeff Ross</v>
      </c>
      <c r="U236" t="str">
        <f t="shared" si="31"/>
        <v>Marker</v>
      </c>
      <c r="V236">
        <f t="shared" si="32"/>
        <v>2025</v>
      </c>
      <c r="W236">
        <f t="shared" si="33"/>
        <v>10</v>
      </c>
      <c r="X236">
        <f t="shared" si="34"/>
        <v>1</v>
      </c>
      <c r="Y236" t="str">
        <f t="shared" si="35"/>
        <v>Oct</v>
      </c>
      <c r="Z236">
        <f t="shared" si="36"/>
        <v>5</v>
      </c>
    </row>
    <row r="237" spans="1:26" ht="15.75" customHeight="1" x14ac:dyDescent="0.3">
      <c r="A237" s="2" t="s">
        <v>677</v>
      </c>
      <c r="B237" s="2" t="s">
        <v>678</v>
      </c>
      <c r="C237" s="2" t="s">
        <v>195</v>
      </c>
      <c r="D237" s="2" t="s">
        <v>43</v>
      </c>
      <c r="E237" s="2" t="s">
        <v>25</v>
      </c>
      <c r="F237" s="2">
        <v>13</v>
      </c>
      <c r="G237" s="2">
        <v>2722.31</v>
      </c>
      <c r="H237" s="2">
        <v>35390.03</v>
      </c>
      <c r="I237" s="2">
        <v>24470.93</v>
      </c>
      <c r="J237" s="2">
        <v>10919.1</v>
      </c>
      <c r="K237" s="3">
        <v>46076</v>
      </c>
      <c r="L237" s="3">
        <v>46086</v>
      </c>
      <c r="M237" s="2" t="s">
        <v>45</v>
      </c>
      <c r="N237" s="2">
        <v>2</v>
      </c>
      <c r="O237" s="2" t="s">
        <v>246</v>
      </c>
      <c r="P237" s="25">
        <v>9.6</v>
      </c>
      <c r="Q237" t="str">
        <f t="shared" si="28"/>
        <v>0236</v>
      </c>
      <c r="R237" t="str">
        <f>IF('RETAIL SALES DATA.'!H237&gt;AVERAGE('RETAIL SALES DATA.'!H237:H1236),"HIGHEST VALUE","LOWEST VALUE")</f>
        <v>HIGHEST VALUE</v>
      </c>
      <c r="S237" t="str">
        <f t="shared" si="29"/>
        <v>Profit</v>
      </c>
      <c r="T237" t="str">
        <f t="shared" si="30"/>
        <v>Justin Montgomery</v>
      </c>
      <c r="U237" t="str">
        <f t="shared" si="31"/>
        <v>Monitor</v>
      </c>
      <c r="V237">
        <f t="shared" si="32"/>
        <v>2026</v>
      </c>
      <c r="W237">
        <f t="shared" si="33"/>
        <v>3</v>
      </c>
      <c r="X237">
        <f t="shared" si="34"/>
        <v>23</v>
      </c>
      <c r="Y237" t="str">
        <f t="shared" si="35"/>
        <v>Feb</v>
      </c>
      <c r="Z237">
        <f t="shared" si="36"/>
        <v>10</v>
      </c>
    </row>
    <row r="238" spans="1:26" ht="15.75" customHeight="1" x14ac:dyDescent="0.3">
      <c r="A238" s="2" t="s">
        <v>679</v>
      </c>
      <c r="B238" s="2" t="s">
        <v>680</v>
      </c>
      <c r="C238" s="2" t="s">
        <v>139</v>
      </c>
      <c r="D238" s="2" t="s">
        <v>31</v>
      </c>
      <c r="E238" s="2" t="s">
        <v>32</v>
      </c>
      <c r="F238" s="2">
        <v>13</v>
      </c>
      <c r="G238" s="2">
        <v>3207.59</v>
      </c>
      <c r="H238" s="2">
        <v>41698.67</v>
      </c>
      <c r="I238" s="2">
        <v>35356.400000000001</v>
      </c>
      <c r="J238" s="2">
        <v>6342.27</v>
      </c>
      <c r="K238" s="3">
        <v>45594</v>
      </c>
      <c r="L238" s="3">
        <v>45598</v>
      </c>
      <c r="M238" s="2" t="s">
        <v>123</v>
      </c>
      <c r="N238" s="2">
        <v>4</v>
      </c>
      <c r="O238" s="2" t="s">
        <v>533</v>
      </c>
      <c r="P238" s="25">
        <v>7.1</v>
      </c>
      <c r="Q238" t="str">
        <f t="shared" si="28"/>
        <v>0237</v>
      </c>
      <c r="R238" t="str">
        <f>IF('RETAIL SALES DATA.'!H238&gt;AVERAGE('RETAIL SALES DATA.'!H238:H1237),"HIGHEST VALUE","LOWEST VALUE")</f>
        <v>HIGHEST VALUE</v>
      </c>
      <c r="S238" t="str">
        <f t="shared" si="29"/>
        <v>Profit</v>
      </c>
      <c r="T238" t="str">
        <f t="shared" si="30"/>
        <v>David Webster</v>
      </c>
      <c r="U238" t="str">
        <f t="shared" si="31"/>
        <v>Sofa</v>
      </c>
      <c r="V238">
        <f t="shared" si="32"/>
        <v>2024</v>
      </c>
      <c r="W238">
        <f t="shared" si="33"/>
        <v>11</v>
      </c>
      <c r="X238">
        <f t="shared" si="34"/>
        <v>29</v>
      </c>
      <c r="Y238" t="str">
        <f t="shared" si="35"/>
        <v>Oct</v>
      </c>
      <c r="Z238">
        <f t="shared" si="36"/>
        <v>4</v>
      </c>
    </row>
    <row r="239" spans="1:26" ht="15.75" customHeight="1" x14ac:dyDescent="0.3">
      <c r="A239" s="2" t="s">
        <v>681</v>
      </c>
      <c r="B239" s="2" t="s">
        <v>682</v>
      </c>
      <c r="C239" s="2" t="s">
        <v>49</v>
      </c>
      <c r="D239" s="2" t="s">
        <v>43</v>
      </c>
      <c r="E239" s="2" t="s">
        <v>20</v>
      </c>
      <c r="F239" s="2">
        <v>16</v>
      </c>
      <c r="G239" s="2">
        <v>508.49</v>
      </c>
      <c r="H239" s="2">
        <v>8135.84</v>
      </c>
      <c r="I239" s="2">
        <v>6328.5</v>
      </c>
      <c r="J239" s="2">
        <v>1807.34</v>
      </c>
      <c r="K239" s="3">
        <v>45437</v>
      </c>
      <c r="L239" s="3">
        <v>45445</v>
      </c>
      <c r="M239" s="2" t="s">
        <v>69</v>
      </c>
      <c r="N239" s="2">
        <v>2</v>
      </c>
      <c r="O239" s="2" t="s">
        <v>683</v>
      </c>
      <c r="P239" s="25">
        <v>6.6</v>
      </c>
      <c r="Q239" t="str">
        <f t="shared" si="28"/>
        <v>0238</v>
      </c>
      <c r="R239" t="str">
        <f>IF('RETAIL SALES DATA.'!H239&gt;AVERAGE('RETAIL SALES DATA.'!H239:H1238),"HIGHEST VALUE","LOWEST VALUE")</f>
        <v>LOWEST VALUE</v>
      </c>
      <c r="S239" t="str">
        <f t="shared" si="29"/>
        <v>Profit</v>
      </c>
      <c r="T239" t="str">
        <f t="shared" si="30"/>
        <v>Nathan Smith</v>
      </c>
      <c r="U239" t="str">
        <f t="shared" si="31"/>
        <v>Mouse</v>
      </c>
      <c r="V239">
        <f t="shared" si="32"/>
        <v>2024</v>
      </c>
      <c r="W239">
        <f t="shared" si="33"/>
        <v>6</v>
      </c>
      <c r="X239">
        <f t="shared" si="34"/>
        <v>25</v>
      </c>
      <c r="Y239" t="str">
        <f t="shared" si="35"/>
        <v>May</v>
      </c>
      <c r="Z239">
        <f t="shared" si="36"/>
        <v>8</v>
      </c>
    </row>
    <row r="240" spans="1:26" ht="15.75" customHeight="1" x14ac:dyDescent="0.3">
      <c r="A240" s="2" t="s">
        <v>684</v>
      </c>
      <c r="B240" s="2" t="s">
        <v>685</v>
      </c>
      <c r="C240" s="2" t="s">
        <v>195</v>
      </c>
      <c r="D240" s="2" t="s">
        <v>43</v>
      </c>
      <c r="E240" s="2" t="s">
        <v>44</v>
      </c>
      <c r="F240" s="2">
        <v>7</v>
      </c>
      <c r="G240" s="2">
        <v>528.49</v>
      </c>
      <c r="H240" s="2">
        <v>3699.43</v>
      </c>
      <c r="I240" s="2">
        <v>2089.46</v>
      </c>
      <c r="J240" s="2">
        <v>1609.97</v>
      </c>
      <c r="K240" s="3">
        <v>45803</v>
      </c>
      <c r="L240" s="3">
        <v>45813</v>
      </c>
      <c r="M240" s="2" t="s">
        <v>58</v>
      </c>
      <c r="N240" s="2">
        <v>3</v>
      </c>
      <c r="O240" s="2" t="s">
        <v>145</v>
      </c>
      <c r="P240" s="25">
        <v>6.8</v>
      </c>
      <c r="Q240" t="str">
        <f t="shared" si="28"/>
        <v>0239</v>
      </c>
      <c r="R240" t="str">
        <f>IF('RETAIL SALES DATA.'!H240&gt;AVERAGE('RETAIL SALES DATA.'!H240:H1239),"HIGHEST VALUE","LOWEST VALUE")</f>
        <v>LOWEST VALUE</v>
      </c>
      <c r="S240" t="str">
        <f t="shared" si="29"/>
        <v>Profit</v>
      </c>
      <c r="T240" t="str">
        <f t="shared" si="30"/>
        <v>Shannon Fitzpatrick</v>
      </c>
      <c r="U240" t="str">
        <f t="shared" si="31"/>
        <v>Monitor</v>
      </c>
      <c r="V240">
        <f t="shared" si="32"/>
        <v>2025</v>
      </c>
      <c r="W240">
        <f t="shared" si="33"/>
        <v>6</v>
      </c>
      <c r="X240">
        <f t="shared" si="34"/>
        <v>26</v>
      </c>
      <c r="Y240" t="str">
        <f t="shared" si="35"/>
        <v>May</v>
      </c>
      <c r="Z240">
        <f t="shared" si="36"/>
        <v>10</v>
      </c>
    </row>
    <row r="241" spans="1:26" ht="15.75" customHeight="1" x14ac:dyDescent="0.3">
      <c r="A241" s="2" t="s">
        <v>686</v>
      </c>
      <c r="B241" s="2" t="s">
        <v>687</v>
      </c>
      <c r="C241" s="2" t="s">
        <v>144</v>
      </c>
      <c r="D241" s="2" t="s">
        <v>19</v>
      </c>
      <c r="E241" s="2" t="s">
        <v>20</v>
      </c>
      <c r="F241" s="2">
        <v>4</v>
      </c>
      <c r="G241" s="2">
        <v>984.43</v>
      </c>
      <c r="H241" s="2">
        <v>3937.72</v>
      </c>
      <c r="I241" s="2">
        <v>2382.1999999999998</v>
      </c>
      <c r="J241" s="2">
        <v>1555.52</v>
      </c>
      <c r="K241" s="3">
        <v>46153</v>
      </c>
      <c r="L241" s="3">
        <v>46155</v>
      </c>
      <c r="M241" s="2" t="s">
        <v>21</v>
      </c>
      <c r="N241" s="2">
        <v>5</v>
      </c>
      <c r="O241" s="2" t="s">
        <v>638</v>
      </c>
      <c r="P241" s="25">
        <v>9</v>
      </c>
      <c r="Q241" t="str">
        <f t="shared" si="28"/>
        <v>0240</v>
      </c>
      <c r="R241" t="str">
        <f>IF('RETAIL SALES DATA.'!H241&gt;AVERAGE('RETAIL SALES DATA.'!H241:H1240),"HIGHEST VALUE","LOWEST VALUE")</f>
        <v>LOWEST VALUE</v>
      </c>
      <c r="S241" t="str">
        <f t="shared" si="29"/>
        <v>Profit</v>
      </c>
      <c r="T241" t="str">
        <f t="shared" si="30"/>
        <v>Monique Pope</v>
      </c>
      <c r="U241" t="str">
        <f t="shared" si="31"/>
        <v>File</v>
      </c>
      <c r="V241">
        <f t="shared" si="32"/>
        <v>2026</v>
      </c>
      <c r="W241">
        <f t="shared" si="33"/>
        <v>5</v>
      </c>
      <c r="X241">
        <f t="shared" si="34"/>
        <v>11</v>
      </c>
      <c r="Y241" t="str">
        <f t="shared" si="35"/>
        <v>May</v>
      </c>
      <c r="Z241">
        <f t="shared" si="36"/>
        <v>2</v>
      </c>
    </row>
    <row r="242" spans="1:26" ht="15.75" customHeight="1" x14ac:dyDescent="0.3">
      <c r="A242" s="2" t="s">
        <v>688</v>
      </c>
      <c r="B242" s="2" t="s">
        <v>689</v>
      </c>
      <c r="C242" s="2" t="s">
        <v>88</v>
      </c>
      <c r="D242" s="2" t="s">
        <v>31</v>
      </c>
      <c r="E242" s="2" t="s">
        <v>32</v>
      </c>
      <c r="F242" s="2">
        <v>9</v>
      </c>
      <c r="G242" s="2">
        <v>3928.09</v>
      </c>
      <c r="H242" s="2">
        <v>35352.81</v>
      </c>
      <c r="I242" s="2">
        <v>23896.7</v>
      </c>
      <c r="J242" s="2">
        <v>11456.11</v>
      </c>
      <c r="K242" s="3">
        <v>45696</v>
      </c>
      <c r="L242" s="3">
        <v>45702</v>
      </c>
      <c r="M242" s="2" t="s">
        <v>45</v>
      </c>
      <c r="N242" s="2">
        <v>3</v>
      </c>
      <c r="O242" s="2" t="s">
        <v>114</v>
      </c>
      <c r="P242" s="25">
        <v>8.1</v>
      </c>
      <c r="Q242" t="str">
        <f t="shared" si="28"/>
        <v>0241</v>
      </c>
      <c r="R242" t="str">
        <f>IF('RETAIL SALES DATA.'!H242&gt;AVERAGE('RETAIL SALES DATA.'!H242:H1241),"HIGHEST VALUE","LOWEST VALUE")</f>
        <v>HIGHEST VALUE</v>
      </c>
      <c r="S242" t="str">
        <f t="shared" si="29"/>
        <v>Profit</v>
      </c>
      <c r="T242" t="str">
        <f t="shared" si="30"/>
        <v>Teresa Edwards</v>
      </c>
      <c r="U242" t="str">
        <f t="shared" si="31"/>
        <v>Cupboard</v>
      </c>
      <c r="V242">
        <f t="shared" si="32"/>
        <v>2025</v>
      </c>
      <c r="W242">
        <f t="shared" si="33"/>
        <v>2</v>
      </c>
      <c r="X242">
        <f t="shared" si="34"/>
        <v>8</v>
      </c>
      <c r="Y242" t="str">
        <f t="shared" si="35"/>
        <v>Feb</v>
      </c>
      <c r="Z242">
        <f t="shared" si="36"/>
        <v>6</v>
      </c>
    </row>
    <row r="243" spans="1:26" ht="15.75" customHeight="1" x14ac:dyDescent="0.3">
      <c r="A243" s="2" t="s">
        <v>690</v>
      </c>
      <c r="B243" s="2" t="s">
        <v>691</v>
      </c>
      <c r="C243" s="2" t="s">
        <v>72</v>
      </c>
      <c r="D243" s="2" t="s">
        <v>31</v>
      </c>
      <c r="E243" s="2" t="s">
        <v>44</v>
      </c>
      <c r="F243" s="2">
        <v>15</v>
      </c>
      <c r="G243" s="2">
        <v>3746.49</v>
      </c>
      <c r="H243" s="2">
        <v>56197.35</v>
      </c>
      <c r="I243" s="2">
        <v>42538.48</v>
      </c>
      <c r="J243" s="2">
        <v>13658.87</v>
      </c>
      <c r="K243" s="3">
        <v>45923</v>
      </c>
      <c r="L243" s="3">
        <v>45930</v>
      </c>
      <c r="M243" s="2" t="s">
        <v>21</v>
      </c>
      <c r="N243" s="2">
        <v>2</v>
      </c>
      <c r="O243" s="2" t="s">
        <v>692</v>
      </c>
      <c r="P243" s="25">
        <v>6.8</v>
      </c>
      <c r="Q243" t="str">
        <f t="shared" si="28"/>
        <v>0242</v>
      </c>
      <c r="R243" t="str">
        <f>IF('RETAIL SALES DATA.'!H243&gt;AVERAGE('RETAIL SALES DATA.'!H243:H1242),"HIGHEST VALUE","LOWEST VALUE")</f>
        <v>HIGHEST VALUE</v>
      </c>
      <c r="S243" t="str">
        <f t="shared" si="29"/>
        <v>Profit</v>
      </c>
      <c r="T243" t="str">
        <f t="shared" si="30"/>
        <v>Molly Boyd</v>
      </c>
      <c r="U243" t="str">
        <f t="shared" si="31"/>
        <v>Chair</v>
      </c>
      <c r="V243">
        <f t="shared" si="32"/>
        <v>2025</v>
      </c>
      <c r="W243">
        <f t="shared" si="33"/>
        <v>9</v>
      </c>
      <c r="X243">
        <f t="shared" si="34"/>
        <v>23</v>
      </c>
      <c r="Y243" t="str">
        <f t="shared" si="35"/>
        <v>Sep</v>
      </c>
      <c r="Z243">
        <f t="shared" si="36"/>
        <v>7</v>
      </c>
    </row>
    <row r="244" spans="1:26" ht="15.75" customHeight="1" x14ac:dyDescent="0.3">
      <c r="A244" s="2" t="s">
        <v>693</v>
      </c>
      <c r="B244" s="2" t="s">
        <v>694</v>
      </c>
      <c r="C244" s="2" t="s">
        <v>95</v>
      </c>
      <c r="D244" s="2" t="s">
        <v>19</v>
      </c>
      <c r="E244" s="2" t="s">
        <v>20</v>
      </c>
      <c r="F244" s="2">
        <v>13</v>
      </c>
      <c r="G244" s="2">
        <v>4439.53</v>
      </c>
      <c r="H244" s="2">
        <v>57713.89</v>
      </c>
      <c r="I244" s="2">
        <v>50798.65</v>
      </c>
      <c r="J244" s="2">
        <v>6915.24</v>
      </c>
      <c r="K244" s="3">
        <v>46023</v>
      </c>
      <c r="L244" s="3">
        <v>46031</v>
      </c>
      <c r="M244" s="2" t="s">
        <v>38</v>
      </c>
      <c r="N244" s="2">
        <v>5</v>
      </c>
      <c r="O244" s="2" t="s">
        <v>273</v>
      </c>
      <c r="P244" s="25">
        <v>9.5</v>
      </c>
      <c r="Q244" t="str">
        <f t="shared" si="28"/>
        <v>0243</v>
      </c>
      <c r="R244" t="str">
        <f>IF('RETAIL SALES DATA.'!H244&gt;AVERAGE('RETAIL SALES DATA.'!H244:H1243),"HIGHEST VALUE","LOWEST VALUE")</f>
        <v>HIGHEST VALUE</v>
      </c>
      <c r="S244" t="str">
        <f t="shared" si="29"/>
        <v>Profit</v>
      </c>
      <c r="T244" t="str">
        <f t="shared" si="30"/>
        <v>William Collier</v>
      </c>
      <c r="U244" t="str">
        <f t="shared" si="31"/>
        <v>Printer</v>
      </c>
      <c r="V244">
        <f t="shared" si="32"/>
        <v>2026</v>
      </c>
      <c r="W244">
        <f t="shared" si="33"/>
        <v>1</v>
      </c>
      <c r="X244">
        <f t="shared" si="34"/>
        <v>1</v>
      </c>
      <c r="Y244" t="str">
        <f t="shared" si="35"/>
        <v>Jan</v>
      </c>
      <c r="Z244">
        <f t="shared" si="36"/>
        <v>8</v>
      </c>
    </row>
    <row r="245" spans="1:26" ht="15.75" customHeight="1" x14ac:dyDescent="0.3">
      <c r="A245" s="2" t="s">
        <v>695</v>
      </c>
      <c r="B245" s="2" t="s">
        <v>696</v>
      </c>
      <c r="C245" s="2" t="s">
        <v>88</v>
      </c>
      <c r="D245" s="2" t="s">
        <v>31</v>
      </c>
      <c r="E245" s="2" t="s">
        <v>20</v>
      </c>
      <c r="F245" s="2">
        <v>6</v>
      </c>
      <c r="G245" s="2">
        <v>685.68</v>
      </c>
      <c r="H245" s="2">
        <v>4114.08</v>
      </c>
      <c r="I245" s="2">
        <v>2638.69</v>
      </c>
      <c r="J245" s="2">
        <v>1475.39</v>
      </c>
      <c r="K245" s="3">
        <v>46003</v>
      </c>
      <c r="L245" s="3">
        <v>46010</v>
      </c>
      <c r="M245" s="2" t="s">
        <v>181</v>
      </c>
      <c r="N245" s="2">
        <v>3</v>
      </c>
      <c r="O245" s="2" t="s">
        <v>423</v>
      </c>
      <c r="P245" s="25">
        <v>6.4</v>
      </c>
      <c r="Q245" t="str">
        <f t="shared" si="28"/>
        <v>0244</v>
      </c>
      <c r="R245" t="str">
        <f>IF('RETAIL SALES DATA.'!H245&gt;AVERAGE('RETAIL SALES DATA.'!H245:H1244),"HIGHEST VALUE","LOWEST VALUE")</f>
        <v>LOWEST VALUE</v>
      </c>
      <c r="S245" t="str">
        <f t="shared" si="29"/>
        <v>Profit</v>
      </c>
      <c r="T245" t="str">
        <f t="shared" si="30"/>
        <v>Casey Jackson</v>
      </c>
      <c r="U245" t="str">
        <f t="shared" si="31"/>
        <v>Cupboard</v>
      </c>
      <c r="V245">
        <f t="shared" si="32"/>
        <v>2025</v>
      </c>
      <c r="W245">
        <f t="shared" si="33"/>
        <v>12</v>
      </c>
      <c r="X245">
        <f t="shared" si="34"/>
        <v>12</v>
      </c>
      <c r="Y245" t="str">
        <f t="shared" si="35"/>
        <v>Dec</v>
      </c>
      <c r="Z245">
        <f t="shared" si="36"/>
        <v>7</v>
      </c>
    </row>
    <row r="246" spans="1:26" ht="15.75" customHeight="1" x14ac:dyDescent="0.3">
      <c r="A246" s="2" t="s">
        <v>697</v>
      </c>
      <c r="B246" s="2" t="s">
        <v>698</v>
      </c>
      <c r="C246" s="2" t="s">
        <v>42</v>
      </c>
      <c r="D246" s="2" t="s">
        <v>43</v>
      </c>
      <c r="E246" s="2" t="s">
        <v>25</v>
      </c>
      <c r="F246" s="2">
        <v>1</v>
      </c>
      <c r="G246" s="2">
        <v>2364.4899999999998</v>
      </c>
      <c r="H246" s="2">
        <v>2364.4899999999998</v>
      </c>
      <c r="I246" s="2">
        <v>1961.63</v>
      </c>
      <c r="J246" s="2">
        <v>402.86</v>
      </c>
      <c r="K246" s="3">
        <v>46160</v>
      </c>
      <c r="L246" s="3">
        <v>46161</v>
      </c>
      <c r="M246" s="2" t="s">
        <v>181</v>
      </c>
      <c r="N246" s="2">
        <v>3</v>
      </c>
      <c r="O246" s="2" t="s">
        <v>525</v>
      </c>
      <c r="P246" s="25">
        <v>8.1999999999999993</v>
      </c>
      <c r="Q246" t="str">
        <f t="shared" si="28"/>
        <v>0245</v>
      </c>
      <c r="R246" t="str">
        <f>IF('RETAIL SALES DATA.'!H246&gt;AVERAGE('RETAIL SALES DATA.'!H246:H1245),"HIGHEST VALUE","LOWEST VALUE")</f>
        <v>LOWEST VALUE</v>
      </c>
      <c r="S246" t="str">
        <f t="shared" si="29"/>
        <v>Profit</v>
      </c>
      <c r="T246" t="str">
        <f t="shared" si="30"/>
        <v>Sabrina Stevens</v>
      </c>
      <c r="U246" t="str">
        <f t="shared" si="31"/>
        <v>Laptop</v>
      </c>
      <c r="V246">
        <f t="shared" si="32"/>
        <v>2026</v>
      </c>
      <c r="W246">
        <f t="shared" si="33"/>
        <v>5</v>
      </c>
      <c r="X246">
        <f t="shared" si="34"/>
        <v>18</v>
      </c>
      <c r="Y246" t="str">
        <f t="shared" si="35"/>
        <v>May</v>
      </c>
      <c r="Z246">
        <f t="shared" si="36"/>
        <v>1</v>
      </c>
    </row>
    <row r="247" spans="1:26" ht="15.75" customHeight="1" x14ac:dyDescent="0.3">
      <c r="A247" s="2" t="s">
        <v>699</v>
      </c>
      <c r="B247" s="2" t="s">
        <v>700</v>
      </c>
      <c r="C247" s="2" t="s">
        <v>168</v>
      </c>
      <c r="D247" s="2" t="s">
        <v>43</v>
      </c>
      <c r="E247" s="2" t="s">
        <v>32</v>
      </c>
      <c r="F247" s="2">
        <v>17</v>
      </c>
      <c r="G247" s="2">
        <v>1249.1600000000001</v>
      </c>
      <c r="H247" s="2">
        <v>21235.72</v>
      </c>
      <c r="I247" s="2">
        <v>18728.73</v>
      </c>
      <c r="J247" s="2">
        <v>2506.9899999999998</v>
      </c>
      <c r="K247" s="3">
        <v>45885</v>
      </c>
      <c r="L247" s="3">
        <v>45894</v>
      </c>
      <c r="M247" s="2" t="s">
        <v>50</v>
      </c>
      <c r="N247" s="2">
        <v>3</v>
      </c>
      <c r="O247" s="2" t="s">
        <v>114</v>
      </c>
      <c r="P247" s="25">
        <v>8.3000000000000007</v>
      </c>
      <c r="Q247" t="str">
        <f t="shared" si="28"/>
        <v>0246</v>
      </c>
      <c r="R247" t="str">
        <f>IF('RETAIL SALES DATA.'!H247&gt;AVERAGE('RETAIL SALES DATA.'!H247:H1246),"HIGHEST VALUE","LOWEST VALUE")</f>
        <v>LOWEST VALUE</v>
      </c>
      <c r="S247" t="str">
        <f t="shared" si="29"/>
        <v>Profit</v>
      </c>
      <c r="T247" t="str">
        <f t="shared" si="30"/>
        <v>Andrew Mercado</v>
      </c>
      <c r="U247" t="str">
        <f t="shared" si="31"/>
        <v>Keyboard</v>
      </c>
      <c r="V247">
        <f t="shared" si="32"/>
        <v>2025</v>
      </c>
      <c r="W247">
        <f t="shared" si="33"/>
        <v>8</v>
      </c>
      <c r="X247">
        <f t="shared" si="34"/>
        <v>16</v>
      </c>
      <c r="Y247" t="str">
        <f t="shared" si="35"/>
        <v>Aug</v>
      </c>
      <c r="Z247">
        <f t="shared" si="36"/>
        <v>9</v>
      </c>
    </row>
    <row r="248" spans="1:26" ht="15.75" customHeight="1" x14ac:dyDescent="0.3">
      <c r="A248" s="2" t="s">
        <v>701</v>
      </c>
      <c r="B248" s="2" t="s">
        <v>702</v>
      </c>
      <c r="C248" s="2" t="s">
        <v>42</v>
      </c>
      <c r="D248" s="2" t="s">
        <v>43</v>
      </c>
      <c r="E248" s="2" t="s">
        <v>25</v>
      </c>
      <c r="F248" s="2">
        <v>5</v>
      </c>
      <c r="G248" s="2">
        <v>2155.19</v>
      </c>
      <c r="H248" s="2">
        <v>10775.95</v>
      </c>
      <c r="I248" s="2">
        <v>7609.65</v>
      </c>
      <c r="J248" s="2">
        <v>3166.3</v>
      </c>
      <c r="K248" s="3">
        <v>46152</v>
      </c>
      <c r="L248" s="3">
        <v>46158</v>
      </c>
      <c r="M248" s="2" t="s">
        <v>45</v>
      </c>
      <c r="N248" s="2">
        <v>1</v>
      </c>
      <c r="O248" s="2" t="s">
        <v>663</v>
      </c>
      <c r="P248" s="25">
        <v>6.2</v>
      </c>
      <c r="Q248" t="str">
        <f t="shared" si="28"/>
        <v>0247</v>
      </c>
      <c r="R248" t="str">
        <f>IF('RETAIL SALES DATA.'!H248&gt;AVERAGE('RETAIL SALES DATA.'!H248:H1247),"HIGHEST VALUE","LOWEST VALUE")</f>
        <v>LOWEST VALUE</v>
      </c>
      <c r="S248" t="str">
        <f t="shared" si="29"/>
        <v>Profit</v>
      </c>
      <c r="T248" t="str">
        <f t="shared" si="30"/>
        <v>Thomas Young</v>
      </c>
      <c r="U248" t="str">
        <f t="shared" si="31"/>
        <v>Laptop</v>
      </c>
      <c r="V248">
        <f t="shared" si="32"/>
        <v>2026</v>
      </c>
      <c r="W248">
        <f t="shared" si="33"/>
        <v>5</v>
      </c>
      <c r="X248">
        <f t="shared" si="34"/>
        <v>10</v>
      </c>
      <c r="Y248" t="str">
        <f t="shared" si="35"/>
        <v>May</v>
      </c>
      <c r="Z248">
        <f t="shared" si="36"/>
        <v>6</v>
      </c>
    </row>
    <row r="249" spans="1:26" ht="15.75" customHeight="1" x14ac:dyDescent="0.3">
      <c r="A249" s="2" t="s">
        <v>703</v>
      </c>
      <c r="B249" s="2" t="s">
        <v>704</v>
      </c>
      <c r="C249" s="2" t="s">
        <v>57</v>
      </c>
      <c r="D249" s="2" t="s">
        <v>19</v>
      </c>
      <c r="E249" s="2" t="s">
        <v>20</v>
      </c>
      <c r="F249" s="2">
        <v>5</v>
      </c>
      <c r="G249" s="2">
        <v>831.74</v>
      </c>
      <c r="H249" s="2">
        <v>4158.7</v>
      </c>
      <c r="I249" s="2">
        <v>2526.61</v>
      </c>
      <c r="J249" s="2">
        <v>1632.09</v>
      </c>
      <c r="K249" s="3">
        <v>45864</v>
      </c>
      <c r="L249" s="3">
        <v>45874</v>
      </c>
      <c r="M249" s="2" t="s">
        <v>181</v>
      </c>
      <c r="N249" s="2">
        <v>4</v>
      </c>
      <c r="O249" s="2" t="s">
        <v>627</v>
      </c>
      <c r="P249" s="25">
        <v>9.1999999999999993</v>
      </c>
      <c r="Q249" t="str">
        <f t="shared" si="28"/>
        <v>0248</v>
      </c>
      <c r="R249" t="str">
        <f>IF('RETAIL SALES DATA.'!H249&gt;AVERAGE('RETAIL SALES DATA.'!H249:H1248),"HIGHEST VALUE","LOWEST VALUE")</f>
        <v>LOWEST VALUE</v>
      </c>
      <c r="S249" t="str">
        <f t="shared" si="29"/>
        <v>Profit</v>
      </c>
      <c r="T249" t="str">
        <f t="shared" si="30"/>
        <v>Crystal Castro</v>
      </c>
      <c r="U249" t="str">
        <f t="shared" si="31"/>
        <v>Notebook</v>
      </c>
      <c r="V249">
        <f t="shared" si="32"/>
        <v>2025</v>
      </c>
      <c r="W249">
        <f t="shared" si="33"/>
        <v>8</v>
      </c>
      <c r="X249">
        <f t="shared" si="34"/>
        <v>26</v>
      </c>
      <c r="Y249" t="str">
        <f t="shared" si="35"/>
        <v>Jul</v>
      </c>
      <c r="Z249">
        <f t="shared" si="36"/>
        <v>10</v>
      </c>
    </row>
    <row r="250" spans="1:26" ht="15.75" customHeight="1" x14ac:dyDescent="0.3">
      <c r="A250" s="2" t="s">
        <v>705</v>
      </c>
      <c r="B250" s="2" t="s">
        <v>706</v>
      </c>
      <c r="C250" s="2" t="s">
        <v>219</v>
      </c>
      <c r="D250" s="2" t="s">
        <v>43</v>
      </c>
      <c r="E250" s="2" t="s">
        <v>32</v>
      </c>
      <c r="F250" s="2">
        <v>11</v>
      </c>
      <c r="G250" s="2">
        <v>2372.77</v>
      </c>
      <c r="H250" s="2">
        <v>26100.47</v>
      </c>
      <c r="I250" s="2">
        <v>19638.490000000002</v>
      </c>
      <c r="J250" s="2">
        <v>6461.98</v>
      </c>
      <c r="K250" s="3">
        <v>45552</v>
      </c>
      <c r="L250" s="3">
        <v>45556</v>
      </c>
      <c r="M250" s="2" t="s">
        <v>45</v>
      </c>
      <c r="N250" s="2">
        <v>5</v>
      </c>
      <c r="O250" s="2" t="s">
        <v>409</v>
      </c>
      <c r="P250" s="25">
        <v>9.6</v>
      </c>
      <c r="Q250" t="str">
        <f t="shared" si="28"/>
        <v>0249</v>
      </c>
      <c r="R250" t="str">
        <f>IF('RETAIL SALES DATA.'!H250&gt;AVERAGE('RETAIL SALES DATA.'!H250:H1249),"HIGHEST VALUE","LOWEST VALUE")</f>
        <v>LOWEST VALUE</v>
      </c>
      <c r="S250" t="str">
        <f t="shared" si="29"/>
        <v>Profit</v>
      </c>
      <c r="T250" t="str">
        <f t="shared" si="30"/>
        <v>Robert Hammond Md</v>
      </c>
      <c r="U250" t="str">
        <f t="shared" si="31"/>
        <v>Smartphone</v>
      </c>
      <c r="V250">
        <f t="shared" si="32"/>
        <v>2024</v>
      </c>
      <c r="W250">
        <f t="shared" si="33"/>
        <v>9</v>
      </c>
      <c r="X250">
        <f t="shared" si="34"/>
        <v>17</v>
      </c>
      <c r="Y250" t="str">
        <f t="shared" si="35"/>
        <v>Sep</v>
      </c>
      <c r="Z250">
        <f t="shared" si="36"/>
        <v>4</v>
      </c>
    </row>
    <row r="251" spans="1:26" ht="15.75" customHeight="1" x14ac:dyDescent="0.3">
      <c r="A251" s="2" t="s">
        <v>707</v>
      </c>
      <c r="B251" s="2" t="s">
        <v>708</v>
      </c>
      <c r="C251" s="2" t="s">
        <v>62</v>
      </c>
      <c r="D251" s="2" t="s">
        <v>31</v>
      </c>
      <c r="E251" s="2" t="s">
        <v>44</v>
      </c>
      <c r="F251" s="2">
        <v>16</v>
      </c>
      <c r="G251" s="2">
        <v>4169.2</v>
      </c>
      <c r="H251" s="2">
        <v>66707.199999999997</v>
      </c>
      <c r="I251" s="2">
        <v>45473.08</v>
      </c>
      <c r="J251" s="2">
        <v>21234.12</v>
      </c>
      <c r="K251" s="3">
        <v>45622</v>
      </c>
      <c r="L251" s="3">
        <v>45632</v>
      </c>
      <c r="M251" s="2" t="s">
        <v>45</v>
      </c>
      <c r="N251" s="2">
        <v>2</v>
      </c>
      <c r="O251" s="2" t="s">
        <v>709</v>
      </c>
      <c r="P251" s="25">
        <v>9.4</v>
      </c>
      <c r="Q251" t="str">
        <f t="shared" si="28"/>
        <v>0250</v>
      </c>
      <c r="R251" t="str">
        <f>IF('RETAIL SALES DATA.'!H251&gt;AVERAGE('RETAIL SALES DATA.'!H251:H1250),"HIGHEST VALUE","LOWEST VALUE")</f>
        <v>HIGHEST VALUE</v>
      </c>
      <c r="S251" t="str">
        <f t="shared" si="29"/>
        <v>Profit</v>
      </c>
      <c r="T251" t="str">
        <f t="shared" si="30"/>
        <v>Amber Brooks</v>
      </c>
      <c r="U251" t="str">
        <f t="shared" si="31"/>
        <v>Table</v>
      </c>
      <c r="V251">
        <f t="shared" si="32"/>
        <v>2024</v>
      </c>
      <c r="W251">
        <f t="shared" si="33"/>
        <v>12</v>
      </c>
      <c r="X251">
        <f t="shared" si="34"/>
        <v>26</v>
      </c>
      <c r="Y251" t="str">
        <f t="shared" si="35"/>
        <v>Nov</v>
      </c>
      <c r="Z251">
        <f t="shared" si="36"/>
        <v>10</v>
      </c>
    </row>
    <row r="252" spans="1:26" ht="15.75" customHeight="1" x14ac:dyDescent="0.3">
      <c r="A252" s="2" t="s">
        <v>710</v>
      </c>
      <c r="B252" s="2" t="s">
        <v>711</v>
      </c>
      <c r="C252" s="2" t="s">
        <v>37</v>
      </c>
      <c r="D252" s="2" t="s">
        <v>19</v>
      </c>
      <c r="E252" s="2" t="s">
        <v>44</v>
      </c>
      <c r="F252" s="2">
        <v>13</v>
      </c>
      <c r="G252" s="2">
        <v>4415.13</v>
      </c>
      <c r="H252" s="2">
        <v>57396.69</v>
      </c>
      <c r="I252" s="2">
        <v>44483.07</v>
      </c>
      <c r="J252" s="2">
        <v>12913.62</v>
      </c>
      <c r="K252" s="3">
        <v>45986</v>
      </c>
      <c r="L252" s="3">
        <v>45995</v>
      </c>
      <c r="M252" s="2" t="s">
        <v>45</v>
      </c>
      <c r="N252" s="2">
        <v>3</v>
      </c>
      <c r="O252" s="2" t="s">
        <v>712</v>
      </c>
      <c r="P252" s="25">
        <v>6.3</v>
      </c>
      <c r="Q252" t="str">
        <f t="shared" si="28"/>
        <v>0251</v>
      </c>
      <c r="R252" t="str">
        <f>IF('RETAIL SALES DATA.'!H252&gt;AVERAGE('RETAIL SALES DATA.'!H252:H1251),"HIGHEST VALUE","LOWEST VALUE")</f>
        <v>HIGHEST VALUE</v>
      </c>
      <c r="S252" t="str">
        <f t="shared" si="29"/>
        <v>Profit</v>
      </c>
      <c r="T252" t="str">
        <f t="shared" si="30"/>
        <v>Angela Klein</v>
      </c>
      <c r="U252" t="str">
        <f t="shared" si="31"/>
        <v>Marker</v>
      </c>
      <c r="V252">
        <f t="shared" si="32"/>
        <v>2025</v>
      </c>
      <c r="W252">
        <f t="shared" si="33"/>
        <v>12</v>
      </c>
      <c r="X252">
        <f t="shared" si="34"/>
        <v>25</v>
      </c>
      <c r="Y252" t="str">
        <f t="shared" si="35"/>
        <v>Nov</v>
      </c>
      <c r="Z252">
        <f t="shared" si="36"/>
        <v>9</v>
      </c>
    </row>
    <row r="253" spans="1:26" ht="15.75" customHeight="1" x14ac:dyDescent="0.3">
      <c r="A253" s="2" t="s">
        <v>713</v>
      </c>
      <c r="B253" s="2" t="s">
        <v>714</v>
      </c>
      <c r="C253" s="2" t="s">
        <v>49</v>
      </c>
      <c r="D253" s="2" t="s">
        <v>43</v>
      </c>
      <c r="E253" s="2" t="s">
        <v>32</v>
      </c>
      <c r="F253" s="2">
        <v>8</v>
      </c>
      <c r="G253" s="2">
        <v>3138.25</v>
      </c>
      <c r="H253" s="2">
        <v>25106</v>
      </c>
      <c r="I253" s="2">
        <v>19196.03</v>
      </c>
      <c r="J253" s="2">
        <v>5909.97</v>
      </c>
      <c r="K253" s="3">
        <v>45694</v>
      </c>
      <c r="L253" s="3">
        <v>45702</v>
      </c>
      <c r="M253" s="2" t="s">
        <v>69</v>
      </c>
      <c r="N253" s="2">
        <v>5</v>
      </c>
      <c r="O253" s="2" t="s">
        <v>715</v>
      </c>
      <c r="P253" s="25">
        <v>7.4</v>
      </c>
      <c r="Q253" t="str">
        <f t="shared" si="28"/>
        <v>0252</v>
      </c>
      <c r="R253" t="str">
        <f>IF('RETAIL SALES DATA.'!H253&gt;AVERAGE('RETAIL SALES DATA.'!H253:H1252),"HIGHEST VALUE","LOWEST VALUE")</f>
        <v>LOWEST VALUE</v>
      </c>
      <c r="S253" t="str">
        <f t="shared" si="29"/>
        <v>Profit</v>
      </c>
      <c r="T253" t="str">
        <f t="shared" si="30"/>
        <v>Tina Foster</v>
      </c>
      <c r="U253" t="str">
        <f t="shared" si="31"/>
        <v>Mouse</v>
      </c>
      <c r="V253">
        <f t="shared" si="32"/>
        <v>2025</v>
      </c>
      <c r="W253">
        <f t="shared" si="33"/>
        <v>2</v>
      </c>
      <c r="X253">
        <f t="shared" si="34"/>
        <v>6</v>
      </c>
      <c r="Y253" t="str">
        <f t="shared" si="35"/>
        <v>Feb</v>
      </c>
      <c r="Z253">
        <f t="shared" si="36"/>
        <v>8</v>
      </c>
    </row>
    <row r="254" spans="1:26" ht="15.75" customHeight="1" x14ac:dyDescent="0.3">
      <c r="A254" s="2" t="s">
        <v>716</v>
      </c>
      <c r="B254" s="2" t="s">
        <v>717</v>
      </c>
      <c r="C254" s="2" t="s">
        <v>18</v>
      </c>
      <c r="D254" s="2" t="s">
        <v>19</v>
      </c>
      <c r="E254" s="2" t="s">
        <v>32</v>
      </c>
      <c r="F254" s="2">
        <v>13</v>
      </c>
      <c r="G254" s="2">
        <v>2327.5300000000002</v>
      </c>
      <c r="H254" s="2">
        <v>30257.89</v>
      </c>
      <c r="I254" s="2">
        <v>17999.189999999999</v>
      </c>
      <c r="J254" s="2">
        <v>12258.7</v>
      </c>
      <c r="K254" s="3">
        <v>45849</v>
      </c>
      <c r="L254" s="3">
        <v>45854</v>
      </c>
      <c r="M254" s="2" t="s">
        <v>69</v>
      </c>
      <c r="N254" s="2">
        <v>5</v>
      </c>
      <c r="O254" s="2" t="s">
        <v>235</v>
      </c>
      <c r="P254" s="25">
        <v>6.8</v>
      </c>
      <c r="Q254" t="str">
        <f t="shared" si="28"/>
        <v>0253</v>
      </c>
      <c r="R254" t="str">
        <f>IF('RETAIL SALES DATA.'!H254&gt;AVERAGE('RETAIL SALES DATA.'!H254:H1253),"HIGHEST VALUE","LOWEST VALUE")</f>
        <v>HIGHEST VALUE</v>
      </c>
      <c r="S254" t="str">
        <f t="shared" si="29"/>
        <v>Profit</v>
      </c>
      <c r="T254" t="str">
        <f t="shared" si="30"/>
        <v>Terry Fields</v>
      </c>
      <c r="U254" t="str">
        <f t="shared" si="31"/>
        <v>Pen</v>
      </c>
      <c r="V254">
        <f t="shared" si="32"/>
        <v>2025</v>
      </c>
      <c r="W254">
        <f t="shared" si="33"/>
        <v>7</v>
      </c>
      <c r="X254">
        <f t="shared" si="34"/>
        <v>11</v>
      </c>
      <c r="Y254" t="str">
        <f t="shared" si="35"/>
        <v>Jul</v>
      </c>
      <c r="Z254">
        <f t="shared" si="36"/>
        <v>5</v>
      </c>
    </row>
    <row r="255" spans="1:26" ht="15.75" customHeight="1" x14ac:dyDescent="0.3">
      <c r="A255" s="2" t="s">
        <v>718</v>
      </c>
      <c r="B255" s="2" t="s">
        <v>719</v>
      </c>
      <c r="C255" s="2" t="s">
        <v>62</v>
      </c>
      <c r="D255" s="2" t="s">
        <v>31</v>
      </c>
      <c r="E255" s="2" t="s">
        <v>20</v>
      </c>
      <c r="F255" s="2">
        <v>12</v>
      </c>
      <c r="G255" s="2">
        <v>3043.22</v>
      </c>
      <c r="H255" s="2">
        <v>36518.639999999999</v>
      </c>
      <c r="I255" s="2">
        <v>19515.28</v>
      </c>
      <c r="J255" s="2">
        <v>17003.36</v>
      </c>
      <c r="K255" s="3">
        <v>45970</v>
      </c>
      <c r="L255" s="3">
        <v>45979</v>
      </c>
      <c r="M255" s="2" t="s">
        <v>45</v>
      </c>
      <c r="N255" s="2">
        <v>2</v>
      </c>
      <c r="O255" s="2" t="s">
        <v>281</v>
      </c>
      <c r="P255" s="25">
        <v>8.9</v>
      </c>
      <c r="Q255" t="str">
        <f t="shared" si="28"/>
        <v>0254</v>
      </c>
      <c r="R255" t="str">
        <f>IF('RETAIL SALES DATA.'!H255&gt;AVERAGE('RETAIL SALES DATA.'!H255:H1254),"HIGHEST VALUE","LOWEST VALUE")</f>
        <v>HIGHEST VALUE</v>
      </c>
      <c r="S255" t="str">
        <f t="shared" si="29"/>
        <v>Profit</v>
      </c>
      <c r="T255" t="str">
        <f t="shared" si="30"/>
        <v>Tony Marshall</v>
      </c>
      <c r="U255" t="str">
        <f t="shared" si="31"/>
        <v>Table</v>
      </c>
      <c r="V255">
        <f t="shared" si="32"/>
        <v>2025</v>
      </c>
      <c r="W255">
        <f t="shared" si="33"/>
        <v>11</v>
      </c>
      <c r="X255">
        <f t="shared" si="34"/>
        <v>9</v>
      </c>
      <c r="Y255" t="str">
        <f t="shared" si="35"/>
        <v>Nov</v>
      </c>
      <c r="Z255">
        <f t="shared" si="36"/>
        <v>9</v>
      </c>
    </row>
    <row r="256" spans="1:26" ht="15.75" customHeight="1" x14ac:dyDescent="0.3">
      <c r="A256" s="2" t="s">
        <v>720</v>
      </c>
      <c r="B256" s="2" t="s">
        <v>721</v>
      </c>
      <c r="C256" s="2" t="s">
        <v>139</v>
      </c>
      <c r="D256" s="2" t="s">
        <v>31</v>
      </c>
      <c r="E256" s="2" t="s">
        <v>44</v>
      </c>
      <c r="F256" s="2">
        <v>13</v>
      </c>
      <c r="G256" s="2">
        <v>2350.14</v>
      </c>
      <c r="H256" s="2">
        <v>30551.82</v>
      </c>
      <c r="I256" s="2">
        <v>23739.97</v>
      </c>
      <c r="J256" s="2">
        <v>6811.85</v>
      </c>
      <c r="K256" s="3">
        <v>45473</v>
      </c>
      <c r="L256" s="3">
        <v>45475</v>
      </c>
      <c r="M256" s="2" t="s">
        <v>33</v>
      </c>
      <c r="N256" s="2">
        <v>4</v>
      </c>
      <c r="O256" s="2" t="s">
        <v>414</v>
      </c>
      <c r="P256" s="25">
        <v>6.5</v>
      </c>
      <c r="Q256" t="str">
        <f t="shared" si="28"/>
        <v>0255</v>
      </c>
      <c r="R256" t="str">
        <f>IF('RETAIL SALES DATA.'!H256&gt;AVERAGE('RETAIL SALES DATA.'!H256:H1255),"HIGHEST VALUE","LOWEST VALUE")</f>
        <v>HIGHEST VALUE</v>
      </c>
      <c r="S256" t="str">
        <f t="shared" si="29"/>
        <v>Profit</v>
      </c>
      <c r="T256" t="str">
        <f t="shared" si="30"/>
        <v>Sheila Moore</v>
      </c>
      <c r="U256" t="str">
        <f t="shared" si="31"/>
        <v>Sofa</v>
      </c>
      <c r="V256">
        <f t="shared" si="32"/>
        <v>2024</v>
      </c>
      <c r="W256">
        <f t="shared" si="33"/>
        <v>7</v>
      </c>
      <c r="X256">
        <f t="shared" si="34"/>
        <v>30</v>
      </c>
      <c r="Y256" t="str">
        <f t="shared" si="35"/>
        <v>Jun</v>
      </c>
      <c r="Z256">
        <f t="shared" si="36"/>
        <v>2</v>
      </c>
    </row>
    <row r="257" spans="1:26" ht="15.75" customHeight="1" x14ac:dyDescent="0.3">
      <c r="A257" s="2" t="s">
        <v>722</v>
      </c>
      <c r="B257" s="2" t="s">
        <v>723</v>
      </c>
      <c r="C257" s="2" t="s">
        <v>219</v>
      </c>
      <c r="D257" s="2" t="s">
        <v>43</v>
      </c>
      <c r="E257" s="2" t="s">
        <v>25</v>
      </c>
      <c r="F257" s="2">
        <v>15</v>
      </c>
      <c r="G257" s="2">
        <v>4743.9799999999996</v>
      </c>
      <c r="H257" s="2">
        <v>71159.7</v>
      </c>
      <c r="I257" s="2">
        <v>59218.51</v>
      </c>
      <c r="J257" s="2">
        <v>11941.19</v>
      </c>
      <c r="K257" s="3">
        <v>45485</v>
      </c>
      <c r="L257" s="3">
        <v>45488</v>
      </c>
      <c r="M257" s="2" t="s">
        <v>50</v>
      </c>
      <c r="N257" s="2">
        <v>5</v>
      </c>
      <c r="O257" s="2" t="s">
        <v>580</v>
      </c>
      <c r="P257" s="25">
        <v>7.8</v>
      </c>
      <c r="Q257" t="str">
        <f t="shared" si="28"/>
        <v>0256</v>
      </c>
      <c r="R257" t="str">
        <f>IF('RETAIL SALES DATA.'!H257&gt;AVERAGE('RETAIL SALES DATA.'!H257:H1256),"HIGHEST VALUE","LOWEST VALUE")</f>
        <v>HIGHEST VALUE</v>
      </c>
      <c r="S257" t="str">
        <f t="shared" si="29"/>
        <v>Profit</v>
      </c>
      <c r="T257" t="str">
        <f t="shared" si="30"/>
        <v>Kristopher Davis</v>
      </c>
      <c r="U257" t="str">
        <f t="shared" si="31"/>
        <v>Smartphone</v>
      </c>
      <c r="V257">
        <f t="shared" si="32"/>
        <v>2024</v>
      </c>
      <c r="W257">
        <f t="shared" si="33"/>
        <v>7</v>
      </c>
      <c r="X257">
        <f t="shared" si="34"/>
        <v>12</v>
      </c>
      <c r="Y257" t="str">
        <f t="shared" si="35"/>
        <v>Jul</v>
      </c>
      <c r="Z257">
        <f t="shared" si="36"/>
        <v>3</v>
      </c>
    </row>
    <row r="258" spans="1:26" ht="15.75" customHeight="1" x14ac:dyDescent="0.3">
      <c r="A258" s="2" t="s">
        <v>724</v>
      </c>
      <c r="B258" s="2" t="s">
        <v>725</v>
      </c>
      <c r="C258" s="2" t="s">
        <v>30</v>
      </c>
      <c r="D258" s="2" t="s">
        <v>31</v>
      </c>
      <c r="E258" s="2" t="s">
        <v>25</v>
      </c>
      <c r="F258" s="2">
        <v>6</v>
      </c>
      <c r="G258" s="2">
        <v>1339.69</v>
      </c>
      <c r="H258" s="2">
        <v>8038.14</v>
      </c>
      <c r="I258" s="2">
        <v>5722.03</v>
      </c>
      <c r="J258" s="2">
        <v>2316.11</v>
      </c>
      <c r="K258" s="3">
        <v>45444</v>
      </c>
      <c r="L258" s="3">
        <v>45446</v>
      </c>
      <c r="M258" s="2" t="s">
        <v>69</v>
      </c>
      <c r="N258" s="2">
        <v>3</v>
      </c>
      <c r="O258" s="2" t="s">
        <v>394</v>
      </c>
      <c r="P258" s="25">
        <v>9.6</v>
      </c>
      <c r="Q258" t="str">
        <f t="shared" si="28"/>
        <v>0257</v>
      </c>
      <c r="R258" t="str">
        <f>IF('RETAIL SALES DATA.'!H258&gt;AVERAGE('RETAIL SALES DATA.'!H258:H1257),"HIGHEST VALUE","LOWEST VALUE")</f>
        <v>LOWEST VALUE</v>
      </c>
      <c r="S258" t="str">
        <f t="shared" si="29"/>
        <v>Profit</v>
      </c>
      <c r="T258" t="str">
        <f t="shared" si="30"/>
        <v>Brandon Thompson</v>
      </c>
      <c r="U258" t="str">
        <f t="shared" si="31"/>
        <v>Desk</v>
      </c>
      <c r="V258">
        <f t="shared" si="32"/>
        <v>2024</v>
      </c>
      <c r="W258">
        <f t="shared" si="33"/>
        <v>6</v>
      </c>
      <c r="X258">
        <f t="shared" si="34"/>
        <v>1</v>
      </c>
      <c r="Y258" t="str">
        <f t="shared" si="35"/>
        <v>Jun</v>
      </c>
      <c r="Z258">
        <f t="shared" si="36"/>
        <v>2</v>
      </c>
    </row>
    <row r="259" spans="1:26" ht="15.75" customHeight="1" x14ac:dyDescent="0.3">
      <c r="A259" s="2" t="s">
        <v>726</v>
      </c>
      <c r="B259" s="2" t="s">
        <v>727</v>
      </c>
      <c r="C259" s="2" t="s">
        <v>57</v>
      </c>
      <c r="D259" s="2" t="s">
        <v>19</v>
      </c>
      <c r="E259" s="2" t="s">
        <v>32</v>
      </c>
      <c r="F259" s="2">
        <v>13</v>
      </c>
      <c r="G259" s="2">
        <v>3347.08</v>
      </c>
      <c r="H259" s="2">
        <v>43512.04</v>
      </c>
      <c r="I259" s="2">
        <v>27273.81</v>
      </c>
      <c r="J259" s="2">
        <v>16238.23</v>
      </c>
      <c r="K259" s="3">
        <v>45957</v>
      </c>
      <c r="L259" s="3">
        <v>45959</v>
      </c>
      <c r="M259" s="2" t="s">
        <v>21</v>
      </c>
      <c r="N259" s="2">
        <v>3</v>
      </c>
      <c r="O259" s="2" t="s">
        <v>426</v>
      </c>
      <c r="P259" s="25">
        <v>9.4</v>
      </c>
      <c r="Q259" t="str">
        <f t="shared" ref="Q259:Q322" si="37">RIGHT(A259,"4")</f>
        <v>0258</v>
      </c>
      <c r="R259" t="str">
        <f>IF('RETAIL SALES DATA.'!H259&gt;AVERAGE('RETAIL SALES DATA.'!H259:H1258),"HIGHEST VALUE","LOWEST VALUE")</f>
        <v>HIGHEST VALUE</v>
      </c>
      <c r="S259" t="str">
        <f t="shared" ref="S259:S322" si="38">IF(J259&gt;0,"Profit","Loss")</f>
        <v>Profit</v>
      </c>
      <c r="T259" t="str">
        <f t="shared" ref="T259:T322" si="39">PROPER(B259)</f>
        <v>Angela Smith</v>
      </c>
      <c r="U259" t="str">
        <f t="shared" ref="U259:U322" si="40">PROPER(C259)</f>
        <v>Notebook</v>
      </c>
      <c r="V259">
        <f t="shared" ref="V259:V322" si="41">YEAR(K259)</f>
        <v>2025</v>
      </c>
      <c r="W259">
        <f t="shared" ref="W259:W322" si="42">MONTH(L259)</f>
        <v>10</v>
      </c>
      <c r="X259">
        <f t="shared" ref="X259:X322" si="43">DAY(K259)</f>
        <v>27</v>
      </c>
      <c r="Y259" t="str">
        <f t="shared" ref="Y259:Y322" si="44">TEXT(K259,"MMM")</f>
        <v>Oct</v>
      </c>
      <c r="Z259">
        <f t="shared" ref="Z259:Z322" si="45">L259-K259</f>
        <v>2</v>
      </c>
    </row>
    <row r="260" spans="1:26" ht="15.75" customHeight="1" x14ac:dyDescent="0.3">
      <c r="A260" s="2" t="s">
        <v>728</v>
      </c>
      <c r="B260" s="2" t="s">
        <v>729</v>
      </c>
      <c r="C260" s="2" t="s">
        <v>72</v>
      </c>
      <c r="D260" s="2" t="s">
        <v>31</v>
      </c>
      <c r="E260" s="2" t="s">
        <v>25</v>
      </c>
      <c r="F260" s="2">
        <v>15</v>
      </c>
      <c r="G260" s="2">
        <v>3395.95</v>
      </c>
      <c r="H260" s="2">
        <v>50939.25</v>
      </c>
      <c r="I260" s="2">
        <v>28620.76</v>
      </c>
      <c r="J260" s="2">
        <v>22318.49</v>
      </c>
      <c r="K260" s="3">
        <v>45647</v>
      </c>
      <c r="L260" s="3">
        <v>45653</v>
      </c>
      <c r="M260" s="2" t="s">
        <v>38</v>
      </c>
      <c r="N260" s="2">
        <v>5</v>
      </c>
      <c r="O260" s="2" t="s">
        <v>557</v>
      </c>
      <c r="P260" s="25">
        <v>7.3</v>
      </c>
      <c r="Q260" t="str">
        <f t="shared" si="37"/>
        <v>0259</v>
      </c>
      <c r="R260" t="str">
        <f>IF('RETAIL SALES DATA.'!H260&gt;AVERAGE('RETAIL SALES DATA.'!H260:H1259),"HIGHEST VALUE","LOWEST VALUE")</f>
        <v>HIGHEST VALUE</v>
      </c>
      <c r="S260" t="str">
        <f t="shared" si="38"/>
        <v>Profit</v>
      </c>
      <c r="T260" t="str">
        <f t="shared" si="39"/>
        <v>Justin Frye</v>
      </c>
      <c r="U260" t="str">
        <f t="shared" si="40"/>
        <v>Chair</v>
      </c>
      <c r="V260">
        <f t="shared" si="41"/>
        <v>2024</v>
      </c>
      <c r="W260">
        <f t="shared" si="42"/>
        <v>12</v>
      </c>
      <c r="X260">
        <f t="shared" si="43"/>
        <v>21</v>
      </c>
      <c r="Y260" t="str">
        <f t="shared" si="44"/>
        <v>Dec</v>
      </c>
      <c r="Z260">
        <f t="shared" si="45"/>
        <v>6</v>
      </c>
    </row>
    <row r="261" spans="1:26" ht="15.75" customHeight="1" x14ac:dyDescent="0.3">
      <c r="A261" s="2" t="s">
        <v>730</v>
      </c>
      <c r="B261" s="2" t="s">
        <v>731</v>
      </c>
      <c r="C261" s="2" t="s">
        <v>95</v>
      </c>
      <c r="D261" s="2" t="s">
        <v>19</v>
      </c>
      <c r="E261" s="2" t="s">
        <v>32</v>
      </c>
      <c r="F261" s="2">
        <v>19</v>
      </c>
      <c r="G261" s="2">
        <v>4272.3900000000003</v>
      </c>
      <c r="H261" s="2">
        <v>81175.41</v>
      </c>
      <c r="I261" s="2">
        <v>62692.13</v>
      </c>
      <c r="J261" s="2">
        <v>18483.28</v>
      </c>
      <c r="K261" s="3">
        <v>45755</v>
      </c>
      <c r="L261" s="3">
        <v>45761</v>
      </c>
      <c r="M261" s="2" t="s">
        <v>58</v>
      </c>
      <c r="N261" s="2">
        <v>1</v>
      </c>
      <c r="O261" s="2" t="s">
        <v>732</v>
      </c>
      <c r="P261" s="25">
        <v>9.8000000000000007</v>
      </c>
      <c r="Q261" t="str">
        <f t="shared" si="37"/>
        <v>0260</v>
      </c>
      <c r="R261" t="str">
        <f>IF('RETAIL SALES DATA.'!H261&gt;AVERAGE('RETAIL SALES DATA.'!H261:H1260),"HIGHEST VALUE","LOWEST VALUE")</f>
        <v>HIGHEST VALUE</v>
      </c>
      <c r="S261" t="str">
        <f t="shared" si="38"/>
        <v>Profit</v>
      </c>
      <c r="T261" t="str">
        <f t="shared" si="39"/>
        <v>Carol Jackson</v>
      </c>
      <c r="U261" t="str">
        <f t="shared" si="40"/>
        <v>Printer</v>
      </c>
      <c r="V261">
        <f t="shared" si="41"/>
        <v>2025</v>
      </c>
      <c r="W261">
        <f t="shared" si="42"/>
        <v>4</v>
      </c>
      <c r="X261">
        <f t="shared" si="43"/>
        <v>8</v>
      </c>
      <c r="Y261" t="str">
        <f t="shared" si="44"/>
        <v>Apr</v>
      </c>
      <c r="Z261">
        <f t="shared" si="45"/>
        <v>6</v>
      </c>
    </row>
    <row r="262" spans="1:26" ht="15.75" customHeight="1" x14ac:dyDescent="0.3">
      <c r="A262" s="2" t="s">
        <v>733</v>
      </c>
      <c r="B262" s="2" t="s">
        <v>734</v>
      </c>
      <c r="C262" s="2" t="s">
        <v>219</v>
      </c>
      <c r="D262" s="2" t="s">
        <v>43</v>
      </c>
      <c r="E262" s="2" t="s">
        <v>32</v>
      </c>
      <c r="F262" s="2">
        <v>19</v>
      </c>
      <c r="G262" s="2">
        <v>2690.64</v>
      </c>
      <c r="H262" s="2">
        <v>51122.16</v>
      </c>
      <c r="I262" s="2">
        <v>38672.32</v>
      </c>
      <c r="J262" s="2">
        <v>12449.84</v>
      </c>
      <c r="K262" s="3">
        <v>46151</v>
      </c>
      <c r="L262" s="3">
        <v>46156</v>
      </c>
      <c r="M262" s="2" t="s">
        <v>38</v>
      </c>
      <c r="N262" s="2">
        <v>5</v>
      </c>
      <c r="O262" s="2" t="s">
        <v>114</v>
      </c>
      <c r="P262" s="25">
        <v>7.8</v>
      </c>
      <c r="Q262" t="str">
        <f t="shared" si="37"/>
        <v>0261</v>
      </c>
      <c r="R262" t="str">
        <f>IF('RETAIL SALES DATA.'!H262&gt;AVERAGE('RETAIL SALES DATA.'!H262:H1261),"HIGHEST VALUE","LOWEST VALUE")</f>
        <v>HIGHEST VALUE</v>
      </c>
      <c r="S262" t="str">
        <f t="shared" si="38"/>
        <v>Profit</v>
      </c>
      <c r="T262" t="str">
        <f t="shared" si="39"/>
        <v>Kathryn Hill</v>
      </c>
      <c r="U262" t="str">
        <f t="shared" si="40"/>
        <v>Smartphone</v>
      </c>
      <c r="V262">
        <f t="shared" si="41"/>
        <v>2026</v>
      </c>
      <c r="W262">
        <f t="shared" si="42"/>
        <v>5</v>
      </c>
      <c r="X262">
        <f t="shared" si="43"/>
        <v>9</v>
      </c>
      <c r="Y262" t="str">
        <f t="shared" si="44"/>
        <v>May</v>
      </c>
      <c r="Z262">
        <f t="shared" si="45"/>
        <v>5</v>
      </c>
    </row>
    <row r="263" spans="1:26" ht="15.75" customHeight="1" x14ac:dyDescent="0.3">
      <c r="A263" s="2" t="s">
        <v>735</v>
      </c>
      <c r="B263" s="2" t="s">
        <v>736</v>
      </c>
      <c r="C263" s="2" t="s">
        <v>37</v>
      </c>
      <c r="D263" s="2" t="s">
        <v>19</v>
      </c>
      <c r="E263" s="2" t="s">
        <v>44</v>
      </c>
      <c r="F263" s="2">
        <v>16</v>
      </c>
      <c r="G263" s="2">
        <v>3260.81</v>
      </c>
      <c r="H263" s="2">
        <v>52172.959999999999</v>
      </c>
      <c r="I263" s="2">
        <v>29148.73</v>
      </c>
      <c r="J263" s="2">
        <v>23024.23</v>
      </c>
      <c r="K263" s="3">
        <v>45891</v>
      </c>
      <c r="L263" s="3">
        <v>45893</v>
      </c>
      <c r="M263" s="2" t="s">
        <v>38</v>
      </c>
      <c r="N263" s="2">
        <v>1</v>
      </c>
      <c r="O263" s="2" t="s">
        <v>294</v>
      </c>
      <c r="P263" s="25">
        <v>7</v>
      </c>
      <c r="Q263" t="str">
        <f t="shared" si="37"/>
        <v>0262</v>
      </c>
      <c r="R263" t="str">
        <f>IF('RETAIL SALES DATA.'!H263&gt;AVERAGE('RETAIL SALES DATA.'!H263:H1262),"HIGHEST VALUE","LOWEST VALUE")</f>
        <v>HIGHEST VALUE</v>
      </c>
      <c r="S263" t="str">
        <f t="shared" si="38"/>
        <v>Profit</v>
      </c>
      <c r="T263" t="str">
        <f t="shared" si="39"/>
        <v>Joyce Hill</v>
      </c>
      <c r="U263" t="str">
        <f t="shared" si="40"/>
        <v>Marker</v>
      </c>
      <c r="V263">
        <f t="shared" si="41"/>
        <v>2025</v>
      </c>
      <c r="W263">
        <f t="shared" si="42"/>
        <v>8</v>
      </c>
      <c r="X263">
        <f t="shared" si="43"/>
        <v>22</v>
      </c>
      <c r="Y263" t="str">
        <f t="shared" si="44"/>
        <v>Aug</v>
      </c>
      <c r="Z263">
        <f t="shared" si="45"/>
        <v>2</v>
      </c>
    </row>
    <row r="264" spans="1:26" ht="15.75" customHeight="1" x14ac:dyDescent="0.3">
      <c r="A264" s="2" t="s">
        <v>737</v>
      </c>
      <c r="B264" s="2" t="s">
        <v>738</v>
      </c>
      <c r="C264" s="2" t="s">
        <v>18</v>
      </c>
      <c r="D264" s="2" t="s">
        <v>19</v>
      </c>
      <c r="E264" s="2" t="s">
        <v>25</v>
      </c>
      <c r="F264" s="2">
        <v>1</v>
      </c>
      <c r="G264" s="2">
        <v>4741.49</v>
      </c>
      <c r="H264" s="2">
        <v>4741.49</v>
      </c>
      <c r="I264" s="2">
        <v>4049.83</v>
      </c>
      <c r="J264" s="2">
        <v>691.66</v>
      </c>
      <c r="K264" s="3">
        <v>46121</v>
      </c>
      <c r="L264" s="3">
        <v>46130</v>
      </c>
      <c r="M264" s="2" t="s">
        <v>181</v>
      </c>
      <c r="N264" s="2">
        <v>2</v>
      </c>
      <c r="O264" s="2" t="s">
        <v>506</v>
      </c>
      <c r="P264" s="25">
        <v>9.9</v>
      </c>
      <c r="Q264" t="str">
        <f t="shared" si="37"/>
        <v>0263</v>
      </c>
      <c r="R264" t="str">
        <f>IF('RETAIL SALES DATA.'!H264&gt;AVERAGE('RETAIL SALES DATA.'!H264:H1263),"HIGHEST VALUE","LOWEST VALUE")</f>
        <v>LOWEST VALUE</v>
      </c>
      <c r="S264" t="str">
        <f t="shared" si="38"/>
        <v>Profit</v>
      </c>
      <c r="T264" t="str">
        <f t="shared" si="39"/>
        <v>Alan Allen</v>
      </c>
      <c r="U264" t="str">
        <f t="shared" si="40"/>
        <v>Pen</v>
      </c>
      <c r="V264">
        <f t="shared" si="41"/>
        <v>2026</v>
      </c>
      <c r="W264">
        <f t="shared" si="42"/>
        <v>4</v>
      </c>
      <c r="X264">
        <f t="shared" si="43"/>
        <v>9</v>
      </c>
      <c r="Y264" t="str">
        <f t="shared" si="44"/>
        <v>Apr</v>
      </c>
      <c r="Z264">
        <f t="shared" si="45"/>
        <v>9</v>
      </c>
    </row>
    <row r="265" spans="1:26" ht="15.75" customHeight="1" x14ac:dyDescent="0.3">
      <c r="A265" s="2" t="s">
        <v>739</v>
      </c>
      <c r="B265" s="2" t="s">
        <v>740</v>
      </c>
      <c r="C265" s="2" t="s">
        <v>37</v>
      </c>
      <c r="D265" s="2" t="s">
        <v>19</v>
      </c>
      <c r="E265" s="2" t="s">
        <v>32</v>
      </c>
      <c r="F265" s="2">
        <v>19</v>
      </c>
      <c r="G265" s="2">
        <v>1138.74</v>
      </c>
      <c r="H265" s="2">
        <v>21636.06</v>
      </c>
      <c r="I265" s="2">
        <v>13003.52</v>
      </c>
      <c r="J265" s="2">
        <v>8632.5400000000009</v>
      </c>
      <c r="K265" s="3">
        <v>45908</v>
      </c>
      <c r="L265" s="3">
        <v>45918</v>
      </c>
      <c r="M265" s="2" t="s">
        <v>45</v>
      </c>
      <c r="N265" s="2">
        <v>5</v>
      </c>
      <c r="O265" s="2" t="s">
        <v>741</v>
      </c>
      <c r="P265" s="25">
        <v>8.9</v>
      </c>
      <c r="Q265" t="str">
        <f t="shared" si="37"/>
        <v>0264</v>
      </c>
      <c r="R265" t="str">
        <f>IF('RETAIL SALES DATA.'!H265&gt;AVERAGE('RETAIL SALES DATA.'!H265:H1264),"HIGHEST VALUE","LOWEST VALUE")</f>
        <v>LOWEST VALUE</v>
      </c>
      <c r="S265" t="str">
        <f t="shared" si="38"/>
        <v>Profit</v>
      </c>
      <c r="T265" t="str">
        <f t="shared" si="39"/>
        <v>Emily Anderson</v>
      </c>
      <c r="U265" t="str">
        <f t="shared" si="40"/>
        <v>Marker</v>
      </c>
      <c r="V265">
        <f t="shared" si="41"/>
        <v>2025</v>
      </c>
      <c r="W265">
        <f t="shared" si="42"/>
        <v>9</v>
      </c>
      <c r="X265">
        <f t="shared" si="43"/>
        <v>8</v>
      </c>
      <c r="Y265" t="str">
        <f t="shared" si="44"/>
        <v>Sep</v>
      </c>
      <c r="Z265">
        <f t="shared" si="45"/>
        <v>10</v>
      </c>
    </row>
    <row r="266" spans="1:26" ht="15.75" customHeight="1" x14ac:dyDescent="0.3">
      <c r="A266" s="2" t="s">
        <v>742</v>
      </c>
      <c r="B266" s="2" t="s">
        <v>743</v>
      </c>
      <c r="C266" s="2" t="s">
        <v>42</v>
      </c>
      <c r="D266" s="2" t="s">
        <v>43</v>
      </c>
      <c r="E266" s="2" t="s">
        <v>32</v>
      </c>
      <c r="F266" s="2">
        <v>7</v>
      </c>
      <c r="G266" s="2">
        <v>1785.25</v>
      </c>
      <c r="H266" s="2">
        <v>12496.75</v>
      </c>
      <c r="I266" s="2">
        <v>6488.09</v>
      </c>
      <c r="J266" s="2">
        <v>6008.66</v>
      </c>
      <c r="K266" s="3">
        <v>45798</v>
      </c>
      <c r="L266" s="3">
        <v>45801</v>
      </c>
      <c r="M266" s="2" t="s">
        <v>69</v>
      </c>
      <c r="N266" s="2">
        <v>2</v>
      </c>
      <c r="O266" s="2" t="s">
        <v>105</v>
      </c>
      <c r="P266" s="25">
        <v>9.5</v>
      </c>
      <c r="Q266" t="str">
        <f t="shared" si="37"/>
        <v>0265</v>
      </c>
      <c r="R266" t="str">
        <f>IF('RETAIL SALES DATA.'!H266&gt;AVERAGE('RETAIL SALES DATA.'!H266:H1265),"HIGHEST VALUE","LOWEST VALUE")</f>
        <v>LOWEST VALUE</v>
      </c>
      <c r="S266" t="str">
        <f t="shared" si="38"/>
        <v>Profit</v>
      </c>
      <c r="T266" t="str">
        <f t="shared" si="39"/>
        <v>Mr. Wesley Pratt Phd</v>
      </c>
      <c r="U266" t="str">
        <f t="shared" si="40"/>
        <v>Laptop</v>
      </c>
      <c r="V266">
        <f t="shared" si="41"/>
        <v>2025</v>
      </c>
      <c r="W266">
        <f t="shared" si="42"/>
        <v>5</v>
      </c>
      <c r="X266">
        <f t="shared" si="43"/>
        <v>21</v>
      </c>
      <c r="Y266" t="str">
        <f t="shared" si="44"/>
        <v>May</v>
      </c>
      <c r="Z266">
        <f t="shared" si="45"/>
        <v>3</v>
      </c>
    </row>
    <row r="267" spans="1:26" ht="15.75" customHeight="1" x14ac:dyDescent="0.3">
      <c r="A267" s="2" t="s">
        <v>744</v>
      </c>
      <c r="B267" s="2" t="s">
        <v>745</v>
      </c>
      <c r="C267" s="2" t="s">
        <v>62</v>
      </c>
      <c r="D267" s="2" t="s">
        <v>31</v>
      </c>
      <c r="E267" s="2" t="s">
        <v>32</v>
      </c>
      <c r="F267" s="2">
        <v>7</v>
      </c>
      <c r="G267" s="2">
        <v>2651.15</v>
      </c>
      <c r="H267" s="2">
        <v>18558.05</v>
      </c>
      <c r="I267" s="2">
        <v>9753.02</v>
      </c>
      <c r="J267" s="2">
        <v>8805.0300000000007</v>
      </c>
      <c r="K267" s="3">
        <v>45935</v>
      </c>
      <c r="L267" s="3">
        <v>45938</v>
      </c>
      <c r="M267" s="2" t="s">
        <v>21</v>
      </c>
      <c r="N267" s="2">
        <v>3</v>
      </c>
      <c r="O267" s="2" t="s">
        <v>746</v>
      </c>
      <c r="P267" s="25">
        <v>9.8000000000000007</v>
      </c>
      <c r="Q267" t="str">
        <f t="shared" si="37"/>
        <v>0266</v>
      </c>
      <c r="R267" t="str">
        <f>IF('RETAIL SALES DATA.'!H267&gt;AVERAGE('RETAIL SALES DATA.'!H267:H1266),"HIGHEST VALUE","LOWEST VALUE")</f>
        <v>LOWEST VALUE</v>
      </c>
      <c r="S267" t="str">
        <f t="shared" si="38"/>
        <v>Profit</v>
      </c>
      <c r="T267" t="str">
        <f t="shared" si="39"/>
        <v>John Yates</v>
      </c>
      <c r="U267" t="str">
        <f t="shared" si="40"/>
        <v>Table</v>
      </c>
      <c r="V267">
        <f t="shared" si="41"/>
        <v>2025</v>
      </c>
      <c r="W267">
        <f t="shared" si="42"/>
        <v>10</v>
      </c>
      <c r="X267">
        <f t="shared" si="43"/>
        <v>5</v>
      </c>
      <c r="Y267" t="str">
        <f t="shared" si="44"/>
        <v>Oct</v>
      </c>
      <c r="Z267">
        <f t="shared" si="45"/>
        <v>3</v>
      </c>
    </row>
    <row r="268" spans="1:26" ht="15.75" customHeight="1" x14ac:dyDescent="0.3">
      <c r="A268" s="2" t="s">
        <v>747</v>
      </c>
      <c r="B268" s="2" t="s">
        <v>748</v>
      </c>
      <c r="C268" s="2" t="s">
        <v>88</v>
      </c>
      <c r="D268" s="2" t="s">
        <v>31</v>
      </c>
      <c r="E268" s="2" t="s">
        <v>32</v>
      </c>
      <c r="F268" s="2">
        <v>16</v>
      </c>
      <c r="G268" s="2">
        <v>323.10000000000002</v>
      </c>
      <c r="H268" s="2">
        <v>5169.6000000000004</v>
      </c>
      <c r="I268" s="2">
        <v>3689.38</v>
      </c>
      <c r="J268" s="2">
        <v>1480.22</v>
      </c>
      <c r="K268" s="3">
        <v>46072</v>
      </c>
      <c r="L268" s="3">
        <v>46076</v>
      </c>
      <c r="M268" s="2" t="s">
        <v>123</v>
      </c>
      <c r="N268" s="2">
        <v>4</v>
      </c>
      <c r="O268" s="2" t="s">
        <v>749</v>
      </c>
      <c r="P268" s="25">
        <v>7.7</v>
      </c>
      <c r="Q268" t="str">
        <f t="shared" si="37"/>
        <v>0267</v>
      </c>
      <c r="R268" t="str">
        <f>IF('RETAIL SALES DATA.'!H268&gt;AVERAGE('RETAIL SALES DATA.'!H268:H1267),"HIGHEST VALUE","LOWEST VALUE")</f>
        <v>LOWEST VALUE</v>
      </c>
      <c r="S268" t="str">
        <f t="shared" si="38"/>
        <v>Profit</v>
      </c>
      <c r="T268" t="str">
        <f t="shared" si="39"/>
        <v>Rhonda Mitchell Md</v>
      </c>
      <c r="U268" t="str">
        <f t="shared" si="40"/>
        <v>Cupboard</v>
      </c>
      <c r="V268">
        <f t="shared" si="41"/>
        <v>2026</v>
      </c>
      <c r="W268">
        <f t="shared" si="42"/>
        <v>2</v>
      </c>
      <c r="X268">
        <f t="shared" si="43"/>
        <v>19</v>
      </c>
      <c r="Y268" t="str">
        <f t="shared" si="44"/>
        <v>Feb</v>
      </c>
      <c r="Z268">
        <f t="shared" si="45"/>
        <v>4</v>
      </c>
    </row>
    <row r="269" spans="1:26" ht="15.75" customHeight="1" x14ac:dyDescent="0.3">
      <c r="A269" s="2" t="s">
        <v>750</v>
      </c>
      <c r="B269" s="2" t="s">
        <v>751</v>
      </c>
      <c r="C269" s="2" t="s">
        <v>195</v>
      </c>
      <c r="D269" s="2" t="s">
        <v>43</v>
      </c>
      <c r="E269" s="2" t="s">
        <v>32</v>
      </c>
      <c r="F269" s="2">
        <v>5</v>
      </c>
      <c r="G269" s="2">
        <v>3880.48</v>
      </c>
      <c r="H269" s="2">
        <v>19402.400000000001</v>
      </c>
      <c r="I269" s="2">
        <v>14387.23</v>
      </c>
      <c r="J269" s="2">
        <v>5015.17</v>
      </c>
      <c r="K269" s="3">
        <v>45623</v>
      </c>
      <c r="L269" s="3">
        <v>45627</v>
      </c>
      <c r="M269" s="2" t="s">
        <v>50</v>
      </c>
      <c r="N269" s="2">
        <v>5</v>
      </c>
      <c r="O269" s="2" t="s">
        <v>383</v>
      </c>
      <c r="P269" s="25">
        <v>9.5</v>
      </c>
      <c r="Q269" t="str">
        <f t="shared" si="37"/>
        <v>0268</v>
      </c>
      <c r="R269" t="str">
        <f>IF('RETAIL SALES DATA.'!H269&gt;AVERAGE('RETAIL SALES DATA.'!H269:H1268),"HIGHEST VALUE","LOWEST VALUE")</f>
        <v>LOWEST VALUE</v>
      </c>
      <c r="S269" t="str">
        <f t="shared" si="38"/>
        <v>Profit</v>
      </c>
      <c r="T269" t="str">
        <f t="shared" si="39"/>
        <v>Sarah Hobbs</v>
      </c>
      <c r="U269" t="str">
        <f t="shared" si="40"/>
        <v>Monitor</v>
      </c>
      <c r="V269">
        <f t="shared" si="41"/>
        <v>2024</v>
      </c>
      <c r="W269">
        <f t="shared" si="42"/>
        <v>12</v>
      </c>
      <c r="X269">
        <f t="shared" si="43"/>
        <v>27</v>
      </c>
      <c r="Y269" t="str">
        <f t="shared" si="44"/>
        <v>Nov</v>
      </c>
      <c r="Z269">
        <f t="shared" si="45"/>
        <v>4</v>
      </c>
    </row>
    <row r="270" spans="1:26" ht="15.75" customHeight="1" x14ac:dyDescent="0.3">
      <c r="A270" s="2" t="s">
        <v>752</v>
      </c>
      <c r="B270" s="2" t="s">
        <v>753</v>
      </c>
      <c r="C270" s="2" t="s">
        <v>18</v>
      </c>
      <c r="D270" s="2" t="s">
        <v>19</v>
      </c>
      <c r="E270" s="2" t="s">
        <v>20</v>
      </c>
      <c r="F270" s="2">
        <v>11</v>
      </c>
      <c r="G270" s="2">
        <v>2736.73</v>
      </c>
      <c r="H270" s="2">
        <v>30104.03</v>
      </c>
      <c r="I270" s="2">
        <v>17951.21</v>
      </c>
      <c r="J270" s="2">
        <v>12152.82</v>
      </c>
      <c r="K270" s="3">
        <v>45782</v>
      </c>
      <c r="L270" s="3">
        <v>45787</v>
      </c>
      <c r="M270" s="2" t="s">
        <v>33</v>
      </c>
      <c r="N270" s="2">
        <v>2</v>
      </c>
      <c r="O270" s="2" t="s">
        <v>754</v>
      </c>
      <c r="P270" s="25">
        <v>9.3000000000000007</v>
      </c>
      <c r="Q270" t="str">
        <f t="shared" si="37"/>
        <v>0269</v>
      </c>
      <c r="R270" t="str">
        <f>IF('RETAIL SALES DATA.'!H270&gt;AVERAGE('RETAIL SALES DATA.'!H270:H1269),"HIGHEST VALUE","LOWEST VALUE")</f>
        <v>HIGHEST VALUE</v>
      </c>
      <c r="S270" t="str">
        <f t="shared" si="38"/>
        <v>Profit</v>
      </c>
      <c r="T270" t="str">
        <f t="shared" si="39"/>
        <v>Ryan Olson</v>
      </c>
      <c r="U270" t="str">
        <f t="shared" si="40"/>
        <v>Pen</v>
      </c>
      <c r="V270">
        <f t="shared" si="41"/>
        <v>2025</v>
      </c>
      <c r="W270">
        <f t="shared" si="42"/>
        <v>5</v>
      </c>
      <c r="X270">
        <f t="shared" si="43"/>
        <v>5</v>
      </c>
      <c r="Y270" t="str">
        <f t="shared" si="44"/>
        <v>May</v>
      </c>
      <c r="Z270">
        <f t="shared" si="45"/>
        <v>5</v>
      </c>
    </row>
    <row r="271" spans="1:26" ht="15.75" customHeight="1" x14ac:dyDescent="0.3">
      <c r="A271" s="2" t="s">
        <v>755</v>
      </c>
      <c r="B271" s="2" t="s">
        <v>756</v>
      </c>
      <c r="C271" s="2" t="s">
        <v>49</v>
      </c>
      <c r="D271" s="2" t="s">
        <v>43</v>
      </c>
      <c r="E271" s="2" t="s">
        <v>32</v>
      </c>
      <c r="F271" s="2">
        <v>12</v>
      </c>
      <c r="G271" s="2">
        <v>4202.21</v>
      </c>
      <c r="H271" s="2">
        <v>50426.52</v>
      </c>
      <c r="I271" s="2">
        <v>43289.51</v>
      </c>
      <c r="J271" s="2">
        <v>7137.01</v>
      </c>
      <c r="K271" s="3">
        <v>45912</v>
      </c>
      <c r="L271" s="3">
        <v>45920</v>
      </c>
      <c r="M271" s="2" t="s">
        <v>33</v>
      </c>
      <c r="N271" s="2">
        <v>1</v>
      </c>
      <c r="O271" s="2" t="s">
        <v>757</v>
      </c>
      <c r="P271" s="25">
        <v>6.9</v>
      </c>
      <c r="Q271" t="str">
        <f t="shared" si="37"/>
        <v>0270</v>
      </c>
      <c r="R271" t="str">
        <f>IF('RETAIL SALES DATA.'!H271&gt;AVERAGE('RETAIL SALES DATA.'!H271:H1270),"HIGHEST VALUE","LOWEST VALUE")</f>
        <v>HIGHEST VALUE</v>
      </c>
      <c r="S271" t="str">
        <f t="shared" si="38"/>
        <v>Profit</v>
      </c>
      <c r="T271" t="str">
        <f t="shared" si="39"/>
        <v>Joseph Estrada</v>
      </c>
      <c r="U271" t="str">
        <f t="shared" si="40"/>
        <v>Mouse</v>
      </c>
      <c r="V271">
        <f t="shared" si="41"/>
        <v>2025</v>
      </c>
      <c r="W271">
        <f t="shared" si="42"/>
        <v>9</v>
      </c>
      <c r="X271">
        <f t="shared" si="43"/>
        <v>12</v>
      </c>
      <c r="Y271" t="str">
        <f t="shared" si="44"/>
        <v>Sep</v>
      </c>
      <c r="Z271">
        <f t="shared" si="45"/>
        <v>8</v>
      </c>
    </row>
    <row r="272" spans="1:26" ht="15.75" customHeight="1" x14ac:dyDescent="0.3">
      <c r="A272" s="2" t="s">
        <v>758</v>
      </c>
      <c r="B272" s="2" t="s">
        <v>759</v>
      </c>
      <c r="C272" s="2" t="s">
        <v>144</v>
      </c>
      <c r="D272" s="2" t="s">
        <v>19</v>
      </c>
      <c r="E272" s="2" t="s">
        <v>20</v>
      </c>
      <c r="F272" s="2">
        <v>17</v>
      </c>
      <c r="G272" s="2">
        <v>3169.24</v>
      </c>
      <c r="H272" s="2">
        <v>53877.08</v>
      </c>
      <c r="I272" s="2">
        <v>42448.2</v>
      </c>
      <c r="J272" s="2">
        <v>11428.88</v>
      </c>
      <c r="K272" s="3">
        <v>45469</v>
      </c>
      <c r="L272" s="3">
        <v>45476</v>
      </c>
      <c r="M272" s="2" t="s">
        <v>123</v>
      </c>
      <c r="N272" s="2">
        <v>4</v>
      </c>
      <c r="O272" s="2" t="s">
        <v>105</v>
      </c>
      <c r="P272" s="25">
        <v>10</v>
      </c>
      <c r="Q272" t="str">
        <f t="shared" si="37"/>
        <v>0271</v>
      </c>
      <c r="R272" t="str">
        <f>IF('RETAIL SALES DATA.'!H272&gt;AVERAGE('RETAIL SALES DATA.'!H272:H1271),"HIGHEST VALUE","LOWEST VALUE")</f>
        <v>HIGHEST VALUE</v>
      </c>
      <c r="S272" t="str">
        <f t="shared" si="38"/>
        <v>Profit</v>
      </c>
      <c r="T272" t="str">
        <f t="shared" si="39"/>
        <v>Jean Farmer</v>
      </c>
      <c r="U272" t="str">
        <f t="shared" si="40"/>
        <v>File</v>
      </c>
      <c r="V272">
        <f t="shared" si="41"/>
        <v>2024</v>
      </c>
      <c r="W272">
        <f t="shared" si="42"/>
        <v>7</v>
      </c>
      <c r="X272">
        <f t="shared" si="43"/>
        <v>26</v>
      </c>
      <c r="Y272" t="str">
        <f t="shared" si="44"/>
        <v>Jun</v>
      </c>
      <c r="Z272">
        <f t="shared" si="45"/>
        <v>7</v>
      </c>
    </row>
    <row r="273" spans="1:26" ht="15.75" customHeight="1" x14ac:dyDescent="0.3">
      <c r="A273" s="2" t="s">
        <v>760</v>
      </c>
      <c r="B273" s="2" t="s">
        <v>761</v>
      </c>
      <c r="C273" s="2" t="s">
        <v>72</v>
      </c>
      <c r="D273" s="2" t="s">
        <v>31</v>
      </c>
      <c r="E273" s="2" t="s">
        <v>32</v>
      </c>
      <c r="F273" s="2">
        <v>1</v>
      </c>
      <c r="G273" s="2">
        <v>653.11</v>
      </c>
      <c r="H273" s="2">
        <v>653.11</v>
      </c>
      <c r="I273" s="2">
        <v>390.82</v>
      </c>
      <c r="J273" s="2">
        <v>262.29000000000002</v>
      </c>
      <c r="K273" s="3">
        <v>45938</v>
      </c>
      <c r="L273" s="3">
        <v>45947</v>
      </c>
      <c r="M273" s="2" t="s">
        <v>123</v>
      </c>
      <c r="N273" s="2">
        <v>5</v>
      </c>
      <c r="O273" s="2" t="s">
        <v>452</v>
      </c>
      <c r="P273" s="25">
        <v>7.6</v>
      </c>
      <c r="Q273" t="str">
        <f t="shared" si="37"/>
        <v>0272</v>
      </c>
      <c r="R273" t="str">
        <f>IF('RETAIL SALES DATA.'!H273&gt;AVERAGE('RETAIL SALES DATA.'!H273:H1272),"HIGHEST VALUE","LOWEST VALUE")</f>
        <v>LOWEST VALUE</v>
      </c>
      <c r="S273" t="str">
        <f t="shared" si="38"/>
        <v>Profit</v>
      </c>
      <c r="T273" t="str">
        <f t="shared" si="39"/>
        <v>Justin Guzman</v>
      </c>
      <c r="U273" t="str">
        <f t="shared" si="40"/>
        <v>Chair</v>
      </c>
      <c r="V273">
        <f t="shared" si="41"/>
        <v>2025</v>
      </c>
      <c r="W273">
        <f t="shared" si="42"/>
        <v>10</v>
      </c>
      <c r="X273">
        <f t="shared" si="43"/>
        <v>8</v>
      </c>
      <c r="Y273" t="str">
        <f t="shared" si="44"/>
        <v>Oct</v>
      </c>
      <c r="Z273">
        <f t="shared" si="45"/>
        <v>9</v>
      </c>
    </row>
    <row r="274" spans="1:26" ht="15.75" customHeight="1" x14ac:dyDescent="0.3">
      <c r="A274" s="2" t="s">
        <v>762</v>
      </c>
      <c r="B274" s="2" t="s">
        <v>763</v>
      </c>
      <c r="C274" s="2" t="s">
        <v>49</v>
      </c>
      <c r="D274" s="2" t="s">
        <v>43</v>
      </c>
      <c r="E274" s="2" t="s">
        <v>25</v>
      </c>
      <c r="F274" s="2">
        <v>1</v>
      </c>
      <c r="G274" s="2">
        <v>3414.28</v>
      </c>
      <c r="H274" s="2">
        <v>3414.28</v>
      </c>
      <c r="I274" s="2">
        <v>2555.17</v>
      </c>
      <c r="J274" s="2">
        <v>859.11</v>
      </c>
      <c r="K274" s="3">
        <v>45625</v>
      </c>
      <c r="L274" s="3">
        <v>45626</v>
      </c>
      <c r="M274" s="2" t="s">
        <v>69</v>
      </c>
      <c r="N274" s="2">
        <v>1</v>
      </c>
      <c r="O274" s="2" t="s">
        <v>764</v>
      </c>
      <c r="P274" s="25">
        <v>7.5</v>
      </c>
      <c r="Q274" t="str">
        <f t="shared" si="37"/>
        <v>0273</v>
      </c>
      <c r="R274" t="str">
        <f>IF('RETAIL SALES DATA.'!H274&gt;AVERAGE('RETAIL SALES DATA.'!H274:H1273),"HIGHEST VALUE","LOWEST VALUE")</f>
        <v>LOWEST VALUE</v>
      </c>
      <c r="S274" t="str">
        <f t="shared" si="38"/>
        <v>Profit</v>
      </c>
      <c r="T274" t="str">
        <f t="shared" si="39"/>
        <v>Anna Wheeler</v>
      </c>
      <c r="U274" t="str">
        <f t="shared" si="40"/>
        <v>Mouse</v>
      </c>
      <c r="V274">
        <f t="shared" si="41"/>
        <v>2024</v>
      </c>
      <c r="W274">
        <f t="shared" si="42"/>
        <v>11</v>
      </c>
      <c r="X274">
        <f t="shared" si="43"/>
        <v>29</v>
      </c>
      <c r="Y274" t="str">
        <f t="shared" si="44"/>
        <v>Nov</v>
      </c>
      <c r="Z274">
        <f t="shared" si="45"/>
        <v>1</v>
      </c>
    </row>
    <row r="275" spans="1:26" ht="15.75" customHeight="1" x14ac:dyDescent="0.3">
      <c r="A275" s="2" t="s">
        <v>765</v>
      </c>
      <c r="B275" s="2" t="s">
        <v>766</v>
      </c>
      <c r="C275" s="2" t="s">
        <v>95</v>
      </c>
      <c r="D275" s="2" t="s">
        <v>19</v>
      </c>
      <c r="E275" s="2" t="s">
        <v>44</v>
      </c>
      <c r="F275" s="2">
        <v>6</v>
      </c>
      <c r="G275" s="2">
        <v>570.77</v>
      </c>
      <c r="H275" s="2">
        <v>3424.62</v>
      </c>
      <c r="I275" s="2">
        <v>2021.31</v>
      </c>
      <c r="J275" s="2">
        <v>1403.31</v>
      </c>
      <c r="K275" s="3">
        <v>46116</v>
      </c>
      <c r="L275" s="3">
        <v>46121</v>
      </c>
      <c r="M275" s="2" t="s">
        <v>69</v>
      </c>
      <c r="N275" s="2">
        <v>2</v>
      </c>
      <c r="O275" s="2" t="s">
        <v>767</v>
      </c>
      <c r="P275" s="25">
        <v>7.8</v>
      </c>
      <c r="Q275" t="str">
        <f t="shared" si="37"/>
        <v>0274</v>
      </c>
      <c r="R275" t="str">
        <f>IF('RETAIL SALES DATA.'!H275&gt;AVERAGE('RETAIL SALES DATA.'!H275:H1274),"HIGHEST VALUE","LOWEST VALUE")</f>
        <v>LOWEST VALUE</v>
      </c>
      <c r="S275" t="str">
        <f t="shared" si="38"/>
        <v>Profit</v>
      </c>
      <c r="T275" t="str">
        <f t="shared" si="39"/>
        <v>Ronald Gomez</v>
      </c>
      <c r="U275" t="str">
        <f t="shared" si="40"/>
        <v>Printer</v>
      </c>
      <c r="V275">
        <f t="shared" si="41"/>
        <v>2026</v>
      </c>
      <c r="W275">
        <f t="shared" si="42"/>
        <v>4</v>
      </c>
      <c r="X275">
        <f t="shared" si="43"/>
        <v>4</v>
      </c>
      <c r="Y275" t="str">
        <f t="shared" si="44"/>
        <v>Apr</v>
      </c>
      <c r="Z275">
        <f t="shared" si="45"/>
        <v>5</v>
      </c>
    </row>
    <row r="276" spans="1:26" ht="15.75" customHeight="1" x14ac:dyDescent="0.3">
      <c r="A276" s="2" t="s">
        <v>768</v>
      </c>
      <c r="B276" s="2" t="s">
        <v>769</v>
      </c>
      <c r="C276" s="2" t="s">
        <v>144</v>
      </c>
      <c r="D276" s="2" t="s">
        <v>19</v>
      </c>
      <c r="E276" s="2" t="s">
        <v>20</v>
      </c>
      <c r="F276" s="2">
        <v>17</v>
      </c>
      <c r="G276" s="2">
        <v>3709.12</v>
      </c>
      <c r="H276" s="2">
        <v>63055.040000000001</v>
      </c>
      <c r="I276" s="2">
        <v>41949.37</v>
      </c>
      <c r="J276" s="2">
        <v>21105.67</v>
      </c>
      <c r="K276" s="3">
        <v>46134</v>
      </c>
      <c r="L276" s="3">
        <v>46141</v>
      </c>
      <c r="M276" s="2" t="s">
        <v>123</v>
      </c>
      <c r="N276" s="2">
        <v>4</v>
      </c>
      <c r="O276" s="2" t="s">
        <v>169</v>
      </c>
      <c r="P276" s="25">
        <v>6.8</v>
      </c>
      <c r="Q276" t="str">
        <f t="shared" si="37"/>
        <v>0275</v>
      </c>
      <c r="R276" t="str">
        <f>IF('RETAIL SALES DATA.'!H276&gt;AVERAGE('RETAIL SALES DATA.'!H276:H1275),"HIGHEST VALUE","LOWEST VALUE")</f>
        <v>HIGHEST VALUE</v>
      </c>
      <c r="S276" t="str">
        <f t="shared" si="38"/>
        <v>Profit</v>
      </c>
      <c r="T276" t="str">
        <f t="shared" si="39"/>
        <v>Andrew Martinez</v>
      </c>
      <c r="U276" t="str">
        <f t="shared" si="40"/>
        <v>File</v>
      </c>
      <c r="V276">
        <f t="shared" si="41"/>
        <v>2026</v>
      </c>
      <c r="W276">
        <f t="shared" si="42"/>
        <v>4</v>
      </c>
      <c r="X276">
        <f t="shared" si="43"/>
        <v>22</v>
      </c>
      <c r="Y276" t="str">
        <f t="shared" si="44"/>
        <v>Apr</v>
      </c>
      <c r="Z276">
        <f t="shared" si="45"/>
        <v>7</v>
      </c>
    </row>
    <row r="277" spans="1:26" ht="15.75" customHeight="1" x14ac:dyDescent="0.3">
      <c r="A277" s="2" t="s">
        <v>770</v>
      </c>
      <c r="B277" s="2" t="s">
        <v>771</v>
      </c>
      <c r="C277" s="2" t="s">
        <v>62</v>
      </c>
      <c r="D277" s="2" t="s">
        <v>31</v>
      </c>
      <c r="E277" s="2" t="s">
        <v>25</v>
      </c>
      <c r="F277" s="2">
        <v>17</v>
      </c>
      <c r="G277" s="2">
        <v>2700.56</v>
      </c>
      <c r="H277" s="2">
        <v>45909.52</v>
      </c>
      <c r="I277" s="2">
        <v>28554.36</v>
      </c>
      <c r="J277" s="2">
        <v>17355.16</v>
      </c>
      <c r="K277" s="3">
        <v>45719</v>
      </c>
      <c r="L277" s="3">
        <v>45722</v>
      </c>
      <c r="M277" s="2" t="s">
        <v>123</v>
      </c>
      <c r="N277" s="2">
        <v>1</v>
      </c>
      <c r="O277" s="2" t="s">
        <v>79</v>
      </c>
      <c r="P277" s="25">
        <v>9.6999999999999993</v>
      </c>
      <c r="Q277" t="str">
        <f t="shared" si="37"/>
        <v>0276</v>
      </c>
      <c r="R277" t="str">
        <f>IF('RETAIL SALES DATA.'!H277&gt;AVERAGE('RETAIL SALES DATA.'!H277:H1276),"HIGHEST VALUE","LOWEST VALUE")</f>
        <v>HIGHEST VALUE</v>
      </c>
      <c r="S277" t="str">
        <f t="shared" si="38"/>
        <v>Profit</v>
      </c>
      <c r="T277" t="str">
        <f t="shared" si="39"/>
        <v>Robert Wilson</v>
      </c>
      <c r="U277" t="str">
        <f t="shared" si="40"/>
        <v>Table</v>
      </c>
      <c r="V277">
        <f t="shared" si="41"/>
        <v>2025</v>
      </c>
      <c r="W277">
        <f t="shared" si="42"/>
        <v>3</v>
      </c>
      <c r="X277">
        <f t="shared" si="43"/>
        <v>3</v>
      </c>
      <c r="Y277" t="str">
        <f t="shared" si="44"/>
        <v>Mar</v>
      </c>
      <c r="Z277">
        <f t="shared" si="45"/>
        <v>3</v>
      </c>
    </row>
    <row r="278" spans="1:26" ht="15.75" customHeight="1" x14ac:dyDescent="0.3">
      <c r="A278" s="2" t="s">
        <v>772</v>
      </c>
      <c r="B278" s="2" t="s">
        <v>773</v>
      </c>
      <c r="C278" s="2" t="s">
        <v>30</v>
      </c>
      <c r="D278" s="2" t="s">
        <v>31</v>
      </c>
      <c r="E278" s="2" t="s">
        <v>25</v>
      </c>
      <c r="F278" s="2">
        <v>7</v>
      </c>
      <c r="G278" s="2">
        <v>3955.65</v>
      </c>
      <c r="H278" s="2">
        <v>27689.55</v>
      </c>
      <c r="I278" s="2">
        <v>24236.61</v>
      </c>
      <c r="J278" s="2">
        <v>3452.94</v>
      </c>
      <c r="K278" s="3">
        <v>45981</v>
      </c>
      <c r="L278" s="3">
        <v>45982</v>
      </c>
      <c r="M278" s="2" t="s">
        <v>45</v>
      </c>
      <c r="N278" s="2">
        <v>4</v>
      </c>
      <c r="O278" s="2" t="s">
        <v>332</v>
      </c>
      <c r="P278" s="25">
        <v>9.4</v>
      </c>
      <c r="Q278" t="str">
        <f t="shared" si="37"/>
        <v>0277</v>
      </c>
      <c r="R278" t="str">
        <f>IF('RETAIL SALES DATA.'!H278&gt;AVERAGE('RETAIL SALES DATA.'!H278:H1277),"HIGHEST VALUE","LOWEST VALUE")</f>
        <v>HIGHEST VALUE</v>
      </c>
      <c r="S278" t="str">
        <f t="shared" si="38"/>
        <v>Profit</v>
      </c>
      <c r="T278" t="str">
        <f t="shared" si="39"/>
        <v>Martin Stanley</v>
      </c>
      <c r="U278" t="str">
        <f t="shared" si="40"/>
        <v>Desk</v>
      </c>
      <c r="V278">
        <f t="shared" si="41"/>
        <v>2025</v>
      </c>
      <c r="W278">
        <f t="shared" si="42"/>
        <v>11</v>
      </c>
      <c r="X278">
        <f t="shared" si="43"/>
        <v>20</v>
      </c>
      <c r="Y278" t="str">
        <f t="shared" si="44"/>
        <v>Nov</v>
      </c>
      <c r="Z278">
        <f t="shared" si="45"/>
        <v>1</v>
      </c>
    </row>
    <row r="279" spans="1:26" ht="15.75" customHeight="1" x14ac:dyDescent="0.3">
      <c r="A279" s="2" t="s">
        <v>774</v>
      </c>
      <c r="B279" s="2" t="s">
        <v>775</v>
      </c>
      <c r="C279" s="2" t="s">
        <v>95</v>
      </c>
      <c r="D279" s="2" t="s">
        <v>19</v>
      </c>
      <c r="E279" s="2" t="s">
        <v>25</v>
      </c>
      <c r="F279" s="2">
        <v>10</v>
      </c>
      <c r="G279" s="2">
        <v>2120.1</v>
      </c>
      <c r="H279" s="2">
        <v>21201</v>
      </c>
      <c r="I279" s="2">
        <v>14522.69</v>
      </c>
      <c r="J279" s="2">
        <v>6678.31</v>
      </c>
      <c r="K279" s="3">
        <v>45998</v>
      </c>
      <c r="L279" s="3">
        <v>46006</v>
      </c>
      <c r="M279" s="2" t="s">
        <v>50</v>
      </c>
      <c r="N279" s="2">
        <v>1</v>
      </c>
      <c r="O279" s="2" t="s">
        <v>757</v>
      </c>
      <c r="P279" s="25">
        <v>8.1999999999999993</v>
      </c>
      <c r="Q279" t="str">
        <f t="shared" si="37"/>
        <v>0278</v>
      </c>
      <c r="R279" t="str">
        <f>IF('RETAIL SALES DATA.'!H279&gt;AVERAGE('RETAIL SALES DATA.'!H279:H1278),"HIGHEST VALUE","LOWEST VALUE")</f>
        <v>LOWEST VALUE</v>
      </c>
      <c r="S279" t="str">
        <f t="shared" si="38"/>
        <v>Profit</v>
      </c>
      <c r="T279" t="str">
        <f t="shared" si="39"/>
        <v>Joseph Flores</v>
      </c>
      <c r="U279" t="str">
        <f t="shared" si="40"/>
        <v>Printer</v>
      </c>
      <c r="V279">
        <f t="shared" si="41"/>
        <v>2025</v>
      </c>
      <c r="W279">
        <f t="shared" si="42"/>
        <v>12</v>
      </c>
      <c r="X279">
        <f t="shared" si="43"/>
        <v>7</v>
      </c>
      <c r="Y279" t="str">
        <f t="shared" si="44"/>
        <v>Dec</v>
      </c>
      <c r="Z279">
        <f t="shared" si="45"/>
        <v>8</v>
      </c>
    </row>
    <row r="280" spans="1:26" ht="15.75" customHeight="1" x14ac:dyDescent="0.3">
      <c r="A280" s="2" t="s">
        <v>776</v>
      </c>
      <c r="B280" s="2" t="s">
        <v>777</v>
      </c>
      <c r="C280" s="2" t="s">
        <v>30</v>
      </c>
      <c r="D280" s="2" t="s">
        <v>31</v>
      </c>
      <c r="E280" s="2" t="s">
        <v>25</v>
      </c>
      <c r="F280" s="2">
        <v>10</v>
      </c>
      <c r="G280" s="2">
        <v>4116.26</v>
      </c>
      <c r="H280" s="2">
        <v>41162.6</v>
      </c>
      <c r="I280" s="2">
        <v>21753.599999999999</v>
      </c>
      <c r="J280" s="2">
        <v>19409</v>
      </c>
      <c r="K280" s="3">
        <v>45557</v>
      </c>
      <c r="L280" s="3">
        <v>45566</v>
      </c>
      <c r="M280" s="2" t="s">
        <v>21</v>
      </c>
      <c r="N280" s="2">
        <v>3</v>
      </c>
      <c r="O280" s="2" t="s">
        <v>172</v>
      </c>
      <c r="P280" s="25">
        <v>9.4</v>
      </c>
      <c r="Q280" t="str">
        <f t="shared" si="37"/>
        <v>0279</v>
      </c>
      <c r="R280" t="str">
        <f>IF('RETAIL SALES DATA.'!H280&gt;AVERAGE('RETAIL SALES DATA.'!H280:H1279),"HIGHEST VALUE","LOWEST VALUE")</f>
        <v>HIGHEST VALUE</v>
      </c>
      <c r="S280" t="str">
        <f t="shared" si="38"/>
        <v>Profit</v>
      </c>
      <c r="T280" t="str">
        <f t="shared" si="39"/>
        <v>Jaclyn Horn</v>
      </c>
      <c r="U280" t="str">
        <f t="shared" si="40"/>
        <v>Desk</v>
      </c>
      <c r="V280">
        <f t="shared" si="41"/>
        <v>2024</v>
      </c>
      <c r="W280">
        <f t="shared" si="42"/>
        <v>10</v>
      </c>
      <c r="X280">
        <f t="shared" si="43"/>
        <v>22</v>
      </c>
      <c r="Y280" t="str">
        <f t="shared" si="44"/>
        <v>Sep</v>
      </c>
      <c r="Z280">
        <f t="shared" si="45"/>
        <v>9</v>
      </c>
    </row>
    <row r="281" spans="1:26" ht="15.75" customHeight="1" x14ac:dyDescent="0.3">
      <c r="A281" s="2" t="s">
        <v>778</v>
      </c>
      <c r="B281" s="2" t="s">
        <v>779</v>
      </c>
      <c r="C281" s="2" t="s">
        <v>168</v>
      </c>
      <c r="D281" s="2" t="s">
        <v>43</v>
      </c>
      <c r="E281" s="2" t="s">
        <v>20</v>
      </c>
      <c r="F281" s="2">
        <v>17</v>
      </c>
      <c r="G281" s="2">
        <v>327.14</v>
      </c>
      <c r="H281" s="2">
        <v>5561.38</v>
      </c>
      <c r="I281" s="2">
        <v>4063.4</v>
      </c>
      <c r="J281" s="2">
        <v>1497.98</v>
      </c>
      <c r="K281" s="3">
        <v>45914</v>
      </c>
      <c r="L281" s="3">
        <v>45922</v>
      </c>
      <c r="M281" s="2" t="s">
        <v>50</v>
      </c>
      <c r="N281" s="2">
        <v>1</v>
      </c>
      <c r="O281" s="2" t="s">
        <v>780</v>
      </c>
      <c r="P281" s="25">
        <v>6.1</v>
      </c>
      <c r="Q281" t="str">
        <f t="shared" si="37"/>
        <v>0280</v>
      </c>
      <c r="R281" t="str">
        <f>IF('RETAIL SALES DATA.'!H281&gt;AVERAGE('RETAIL SALES DATA.'!H281:H1280),"HIGHEST VALUE","LOWEST VALUE")</f>
        <v>LOWEST VALUE</v>
      </c>
      <c r="S281" t="str">
        <f t="shared" si="38"/>
        <v>Profit</v>
      </c>
      <c r="T281" t="str">
        <f t="shared" si="39"/>
        <v>Jason Holt</v>
      </c>
      <c r="U281" t="str">
        <f t="shared" si="40"/>
        <v>Keyboard</v>
      </c>
      <c r="V281">
        <f t="shared" si="41"/>
        <v>2025</v>
      </c>
      <c r="W281">
        <f t="shared" si="42"/>
        <v>9</v>
      </c>
      <c r="X281">
        <f t="shared" si="43"/>
        <v>14</v>
      </c>
      <c r="Y281" t="str">
        <f t="shared" si="44"/>
        <v>Sep</v>
      </c>
      <c r="Z281">
        <f t="shared" si="45"/>
        <v>8</v>
      </c>
    </row>
    <row r="282" spans="1:26" ht="15.75" customHeight="1" x14ac:dyDescent="0.3">
      <c r="A282" s="2" t="s">
        <v>781</v>
      </c>
      <c r="B282" s="2" t="s">
        <v>782</v>
      </c>
      <c r="C282" s="2" t="s">
        <v>30</v>
      </c>
      <c r="D282" s="2" t="s">
        <v>31</v>
      </c>
      <c r="E282" s="2" t="s">
        <v>25</v>
      </c>
      <c r="F282" s="2">
        <v>10</v>
      </c>
      <c r="G282" s="2">
        <v>2878.81</v>
      </c>
      <c r="H282" s="2">
        <v>28788.1</v>
      </c>
      <c r="I282" s="2">
        <v>22560.43</v>
      </c>
      <c r="J282" s="2">
        <v>6227.67</v>
      </c>
      <c r="K282" s="3">
        <v>45721</v>
      </c>
      <c r="L282" s="3">
        <v>45731</v>
      </c>
      <c r="M282" s="2" t="s">
        <v>181</v>
      </c>
      <c r="N282" s="2">
        <v>3</v>
      </c>
      <c r="O282" s="2" t="s">
        <v>318</v>
      </c>
      <c r="P282" s="25">
        <v>6.4</v>
      </c>
      <c r="Q282" t="str">
        <f t="shared" si="37"/>
        <v>0281</v>
      </c>
      <c r="R282" t="str">
        <f>IF('RETAIL SALES DATA.'!H282&gt;AVERAGE('RETAIL SALES DATA.'!H282:H1281),"HIGHEST VALUE","LOWEST VALUE")</f>
        <v>HIGHEST VALUE</v>
      </c>
      <c r="S282" t="str">
        <f t="shared" si="38"/>
        <v>Profit</v>
      </c>
      <c r="T282" t="str">
        <f t="shared" si="39"/>
        <v>Emily Brewer</v>
      </c>
      <c r="U282" t="str">
        <f t="shared" si="40"/>
        <v>Desk</v>
      </c>
      <c r="V282">
        <f t="shared" si="41"/>
        <v>2025</v>
      </c>
      <c r="W282">
        <f t="shared" si="42"/>
        <v>3</v>
      </c>
      <c r="X282">
        <f t="shared" si="43"/>
        <v>5</v>
      </c>
      <c r="Y282" t="str">
        <f t="shared" si="44"/>
        <v>Mar</v>
      </c>
      <c r="Z282">
        <f t="shared" si="45"/>
        <v>10</v>
      </c>
    </row>
    <row r="283" spans="1:26" ht="15.75" customHeight="1" x14ac:dyDescent="0.3">
      <c r="A283" s="2" t="s">
        <v>783</v>
      </c>
      <c r="B283" s="2" t="s">
        <v>784</v>
      </c>
      <c r="C283" s="2" t="s">
        <v>42</v>
      </c>
      <c r="D283" s="2" t="s">
        <v>43</v>
      </c>
      <c r="E283" s="2" t="s">
        <v>20</v>
      </c>
      <c r="F283" s="2">
        <v>14</v>
      </c>
      <c r="G283" s="2">
        <v>3806.12</v>
      </c>
      <c r="H283" s="2">
        <v>53285.68</v>
      </c>
      <c r="I283" s="2">
        <v>33118.239999999998</v>
      </c>
      <c r="J283" s="2">
        <v>20167.439999999999</v>
      </c>
      <c r="K283" s="3">
        <v>45880</v>
      </c>
      <c r="L283" s="3">
        <v>45884</v>
      </c>
      <c r="M283" s="2" t="s">
        <v>50</v>
      </c>
      <c r="N283" s="2">
        <v>4</v>
      </c>
      <c r="O283" s="2" t="s">
        <v>785</v>
      </c>
      <c r="P283" s="25">
        <v>9.5</v>
      </c>
      <c r="Q283" t="str">
        <f t="shared" si="37"/>
        <v>0282</v>
      </c>
      <c r="R283" t="str">
        <f>IF('RETAIL SALES DATA.'!H283&gt;AVERAGE('RETAIL SALES DATA.'!H283:H1282),"HIGHEST VALUE","LOWEST VALUE")</f>
        <v>HIGHEST VALUE</v>
      </c>
      <c r="S283" t="str">
        <f t="shared" si="38"/>
        <v>Profit</v>
      </c>
      <c r="T283" t="str">
        <f t="shared" si="39"/>
        <v>Jeff Mcfarland</v>
      </c>
      <c r="U283" t="str">
        <f t="shared" si="40"/>
        <v>Laptop</v>
      </c>
      <c r="V283">
        <f t="shared" si="41"/>
        <v>2025</v>
      </c>
      <c r="W283">
        <f t="shared" si="42"/>
        <v>8</v>
      </c>
      <c r="X283">
        <f t="shared" si="43"/>
        <v>11</v>
      </c>
      <c r="Y283" t="str">
        <f t="shared" si="44"/>
        <v>Aug</v>
      </c>
      <c r="Z283">
        <f t="shared" si="45"/>
        <v>4</v>
      </c>
    </row>
    <row r="284" spans="1:26" ht="15.75" customHeight="1" x14ac:dyDescent="0.3">
      <c r="A284" s="2" t="s">
        <v>786</v>
      </c>
      <c r="B284" s="2" t="s">
        <v>787</v>
      </c>
      <c r="C284" s="2" t="s">
        <v>195</v>
      </c>
      <c r="D284" s="2" t="s">
        <v>43</v>
      </c>
      <c r="E284" s="2" t="s">
        <v>32</v>
      </c>
      <c r="F284" s="2">
        <v>14</v>
      </c>
      <c r="G284" s="2">
        <v>3468.64</v>
      </c>
      <c r="H284" s="2">
        <v>48560.959999999999</v>
      </c>
      <c r="I284" s="2">
        <v>35101.980000000003</v>
      </c>
      <c r="J284" s="2">
        <v>13458.98</v>
      </c>
      <c r="K284" s="3">
        <v>45586</v>
      </c>
      <c r="L284" s="3">
        <v>45588</v>
      </c>
      <c r="M284" s="2" t="s">
        <v>45</v>
      </c>
      <c r="N284" s="2">
        <v>3</v>
      </c>
      <c r="O284" s="2" t="s">
        <v>788</v>
      </c>
      <c r="P284" s="25">
        <v>7</v>
      </c>
      <c r="Q284" t="str">
        <f t="shared" si="37"/>
        <v>0283</v>
      </c>
      <c r="R284" t="str">
        <f>IF('RETAIL SALES DATA.'!H284&gt;AVERAGE('RETAIL SALES DATA.'!H284:H1283),"HIGHEST VALUE","LOWEST VALUE")</f>
        <v>HIGHEST VALUE</v>
      </c>
      <c r="S284" t="str">
        <f t="shared" si="38"/>
        <v>Profit</v>
      </c>
      <c r="T284" t="str">
        <f t="shared" si="39"/>
        <v>Brian Thompson</v>
      </c>
      <c r="U284" t="str">
        <f t="shared" si="40"/>
        <v>Monitor</v>
      </c>
      <c r="V284">
        <f t="shared" si="41"/>
        <v>2024</v>
      </c>
      <c r="W284">
        <f t="shared" si="42"/>
        <v>10</v>
      </c>
      <c r="X284">
        <f t="shared" si="43"/>
        <v>21</v>
      </c>
      <c r="Y284" t="str">
        <f t="shared" si="44"/>
        <v>Oct</v>
      </c>
      <c r="Z284">
        <f t="shared" si="45"/>
        <v>2</v>
      </c>
    </row>
    <row r="285" spans="1:26" ht="15.75" customHeight="1" x14ac:dyDescent="0.3">
      <c r="A285" s="2" t="s">
        <v>789</v>
      </c>
      <c r="B285" s="2" t="s">
        <v>790</v>
      </c>
      <c r="C285" s="2" t="s">
        <v>42</v>
      </c>
      <c r="D285" s="2" t="s">
        <v>43</v>
      </c>
      <c r="E285" s="2" t="s">
        <v>20</v>
      </c>
      <c r="F285" s="2">
        <v>11</v>
      </c>
      <c r="G285" s="2">
        <v>675.25</v>
      </c>
      <c r="H285" s="2">
        <v>7427.75</v>
      </c>
      <c r="I285" s="2">
        <v>5092.22</v>
      </c>
      <c r="J285" s="2">
        <v>2335.5300000000002</v>
      </c>
      <c r="K285" s="3">
        <v>46061</v>
      </c>
      <c r="L285" s="3">
        <v>46067</v>
      </c>
      <c r="M285" s="2" t="s">
        <v>33</v>
      </c>
      <c r="N285" s="2">
        <v>1</v>
      </c>
      <c r="O285" s="2" t="s">
        <v>325</v>
      </c>
      <c r="P285" s="25">
        <v>8.1</v>
      </c>
      <c r="Q285" t="str">
        <f t="shared" si="37"/>
        <v>0284</v>
      </c>
      <c r="R285" t="str">
        <f>IF('RETAIL SALES DATA.'!H285&gt;AVERAGE('RETAIL SALES DATA.'!H285:H1284),"HIGHEST VALUE","LOWEST VALUE")</f>
        <v>LOWEST VALUE</v>
      </c>
      <c r="S285" t="str">
        <f t="shared" si="38"/>
        <v>Profit</v>
      </c>
      <c r="T285" t="str">
        <f t="shared" si="39"/>
        <v>Jonathan Bailey</v>
      </c>
      <c r="U285" t="str">
        <f t="shared" si="40"/>
        <v>Laptop</v>
      </c>
      <c r="V285">
        <f t="shared" si="41"/>
        <v>2026</v>
      </c>
      <c r="W285">
        <f t="shared" si="42"/>
        <v>2</v>
      </c>
      <c r="X285">
        <f t="shared" si="43"/>
        <v>8</v>
      </c>
      <c r="Y285" t="str">
        <f t="shared" si="44"/>
        <v>Feb</v>
      </c>
      <c r="Z285">
        <f t="shared" si="45"/>
        <v>6</v>
      </c>
    </row>
    <row r="286" spans="1:26" ht="15.75" customHeight="1" x14ac:dyDescent="0.3">
      <c r="A286" s="2" t="s">
        <v>791</v>
      </c>
      <c r="B286" s="2" t="s">
        <v>792</v>
      </c>
      <c r="C286" s="2" t="s">
        <v>18</v>
      </c>
      <c r="D286" s="2" t="s">
        <v>19</v>
      </c>
      <c r="E286" s="2" t="s">
        <v>32</v>
      </c>
      <c r="F286" s="2">
        <v>8</v>
      </c>
      <c r="G286" s="2">
        <v>1928.43</v>
      </c>
      <c r="H286" s="2">
        <v>15427.44</v>
      </c>
      <c r="I286" s="2">
        <v>8703.94</v>
      </c>
      <c r="J286" s="2">
        <v>6723.5</v>
      </c>
      <c r="K286" s="3">
        <v>45811</v>
      </c>
      <c r="L286" s="3">
        <v>45812</v>
      </c>
      <c r="M286" s="2" t="s">
        <v>181</v>
      </c>
      <c r="N286" s="2">
        <v>3</v>
      </c>
      <c r="O286" s="2" t="s">
        <v>159</v>
      </c>
      <c r="P286" s="25">
        <v>6.3</v>
      </c>
      <c r="Q286" t="str">
        <f t="shared" si="37"/>
        <v>0285</v>
      </c>
      <c r="R286" t="str">
        <f>IF('RETAIL SALES DATA.'!H286&gt;AVERAGE('RETAIL SALES DATA.'!H286:H1285),"HIGHEST VALUE","LOWEST VALUE")</f>
        <v>LOWEST VALUE</v>
      </c>
      <c r="S286" t="str">
        <f t="shared" si="38"/>
        <v>Profit</v>
      </c>
      <c r="T286" t="str">
        <f t="shared" si="39"/>
        <v>William Meyer</v>
      </c>
      <c r="U286" t="str">
        <f t="shared" si="40"/>
        <v>Pen</v>
      </c>
      <c r="V286">
        <f t="shared" si="41"/>
        <v>2025</v>
      </c>
      <c r="W286">
        <f t="shared" si="42"/>
        <v>6</v>
      </c>
      <c r="X286">
        <f t="shared" si="43"/>
        <v>3</v>
      </c>
      <c r="Y286" t="str">
        <f t="shared" si="44"/>
        <v>Jun</v>
      </c>
      <c r="Z286">
        <f t="shared" si="45"/>
        <v>1</v>
      </c>
    </row>
    <row r="287" spans="1:26" ht="15.75" customHeight="1" x14ac:dyDescent="0.3">
      <c r="A287" s="2" t="s">
        <v>793</v>
      </c>
      <c r="B287" s="2" t="s">
        <v>794</v>
      </c>
      <c r="C287" s="2" t="s">
        <v>88</v>
      </c>
      <c r="D287" s="2" t="s">
        <v>31</v>
      </c>
      <c r="E287" s="2" t="s">
        <v>20</v>
      </c>
      <c r="F287" s="2">
        <v>8</v>
      </c>
      <c r="G287" s="2">
        <v>3801.34</v>
      </c>
      <c r="H287" s="2">
        <v>30410.720000000001</v>
      </c>
      <c r="I287" s="2">
        <v>21902.84</v>
      </c>
      <c r="J287" s="2">
        <v>8507.8799999999992</v>
      </c>
      <c r="K287" s="3">
        <v>45894</v>
      </c>
      <c r="L287" s="3">
        <v>45897</v>
      </c>
      <c r="M287" s="2" t="s">
        <v>26</v>
      </c>
      <c r="N287" s="2">
        <v>3</v>
      </c>
      <c r="O287" s="2" t="s">
        <v>325</v>
      </c>
      <c r="P287" s="25">
        <v>9.6</v>
      </c>
      <c r="Q287" t="str">
        <f t="shared" si="37"/>
        <v>0286</v>
      </c>
      <c r="R287" t="str">
        <f>IF('RETAIL SALES DATA.'!H287&gt;AVERAGE('RETAIL SALES DATA.'!H287:H1286),"HIGHEST VALUE","LOWEST VALUE")</f>
        <v>HIGHEST VALUE</v>
      </c>
      <c r="S287" t="str">
        <f t="shared" si="38"/>
        <v>Profit</v>
      </c>
      <c r="T287" t="str">
        <f t="shared" si="39"/>
        <v>Laura Baker</v>
      </c>
      <c r="U287" t="str">
        <f t="shared" si="40"/>
        <v>Cupboard</v>
      </c>
      <c r="V287">
        <f t="shared" si="41"/>
        <v>2025</v>
      </c>
      <c r="W287">
        <f t="shared" si="42"/>
        <v>8</v>
      </c>
      <c r="X287">
        <f t="shared" si="43"/>
        <v>25</v>
      </c>
      <c r="Y287" t="str">
        <f t="shared" si="44"/>
        <v>Aug</v>
      </c>
      <c r="Z287">
        <f t="shared" si="45"/>
        <v>3</v>
      </c>
    </row>
    <row r="288" spans="1:26" ht="15.75" customHeight="1" x14ac:dyDescent="0.3">
      <c r="A288" s="2" t="s">
        <v>795</v>
      </c>
      <c r="B288" s="2" t="s">
        <v>796</v>
      </c>
      <c r="C288" s="2" t="s">
        <v>195</v>
      </c>
      <c r="D288" s="2" t="s">
        <v>43</v>
      </c>
      <c r="E288" s="2" t="s">
        <v>44</v>
      </c>
      <c r="F288" s="2">
        <v>2</v>
      </c>
      <c r="G288" s="2">
        <v>1014.12</v>
      </c>
      <c r="H288" s="2">
        <v>2028.24</v>
      </c>
      <c r="I288" s="2">
        <v>1788.9</v>
      </c>
      <c r="J288" s="2">
        <v>239.34</v>
      </c>
      <c r="K288" s="3">
        <v>45869</v>
      </c>
      <c r="L288" s="3">
        <v>45878</v>
      </c>
      <c r="M288" s="2" t="s">
        <v>38</v>
      </c>
      <c r="N288" s="2">
        <v>1</v>
      </c>
      <c r="O288" s="2" t="s">
        <v>496</v>
      </c>
      <c r="P288" s="25">
        <v>6.3</v>
      </c>
      <c r="Q288" t="str">
        <f t="shared" si="37"/>
        <v>0287</v>
      </c>
      <c r="R288" t="str">
        <f>IF('RETAIL SALES DATA.'!H288&gt;AVERAGE('RETAIL SALES DATA.'!H288:H1287),"HIGHEST VALUE","LOWEST VALUE")</f>
        <v>LOWEST VALUE</v>
      </c>
      <c r="S288" t="str">
        <f t="shared" si="38"/>
        <v>Profit</v>
      </c>
      <c r="T288" t="str">
        <f t="shared" si="39"/>
        <v>Judy Thomas</v>
      </c>
      <c r="U288" t="str">
        <f t="shared" si="40"/>
        <v>Monitor</v>
      </c>
      <c r="V288">
        <f t="shared" si="41"/>
        <v>2025</v>
      </c>
      <c r="W288">
        <f t="shared" si="42"/>
        <v>8</v>
      </c>
      <c r="X288">
        <f t="shared" si="43"/>
        <v>31</v>
      </c>
      <c r="Y288" t="str">
        <f t="shared" si="44"/>
        <v>Jul</v>
      </c>
      <c r="Z288">
        <f t="shared" si="45"/>
        <v>9</v>
      </c>
    </row>
    <row r="289" spans="1:26" ht="15.75" customHeight="1" x14ac:dyDescent="0.3">
      <c r="A289" s="2" t="s">
        <v>797</v>
      </c>
      <c r="B289" s="2" t="s">
        <v>798</v>
      </c>
      <c r="C289" s="2" t="s">
        <v>18</v>
      </c>
      <c r="D289" s="2" t="s">
        <v>19</v>
      </c>
      <c r="E289" s="2" t="s">
        <v>32</v>
      </c>
      <c r="F289" s="2">
        <v>19</v>
      </c>
      <c r="G289" s="2">
        <v>4274.3999999999996</v>
      </c>
      <c r="H289" s="2">
        <v>81213.600000000006</v>
      </c>
      <c r="I289" s="2">
        <v>58806.720000000001</v>
      </c>
      <c r="J289" s="2">
        <v>22406.880000000001</v>
      </c>
      <c r="K289" s="3">
        <v>45599</v>
      </c>
      <c r="L289" s="3">
        <v>45604</v>
      </c>
      <c r="M289" s="2" t="s">
        <v>38</v>
      </c>
      <c r="N289" s="2">
        <v>2</v>
      </c>
      <c r="O289" s="2" t="s">
        <v>799</v>
      </c>
      <c r="P289" s="25">
        <v>6.4</v>
      </c>
      <c r="Q289" t="str">
        <f t="shared" si="37"/>
        <v>0288</v>
      </c>
      <c r="R289" t="str">
        <f>IF('RETAIL SALES DATA.'!H289&gt;AVERAGE('RETAIL SALES DATA.'!H289:H1288),"HIGHEST VALUE","LOWEST VALUE")</f>
        <v>HIGHEST VALUE</v>
      </c>
      <c r="S289" t="str">
        <f t="shared" si="38"/>
        <v>Profit</v>
      </c>
      <c r="T289" t="str">
        <f t="shared" si="39"/>
        <v>Tracy Wells</v>
      </c>
      <c r="U289" t="str">
        <f t="shared" si="40"/>
        <v>Pen</v>
      </c>
      <c r="V289">
        <f t="shared" si="41"/>
        <v>2024</v>
      </c>
      <c r="W289">
        <f t="shared" si="42"/>
        <v>11</v>
      </c>
      <c r="X289">
        <f t="shared" si="43"/>
        <v>3</v>
      </c>
      <c r="Y289" t="str">
        <f t="shared" si="44"/>
        <v>Nov</v>
      </c>
      <c r="Z289">
        <f t="shared" si="45"/>
        <v>5</v>
      </c>
    </row>
    <row r="290" spans="1:26" ht="15.75" customHeight="1" x14ac:dyDescent="0.3">
      <c r="A290" s="2" t="s">
        <v>800</v>
      </c>
      <c r="B290" s="2" t="s">
        <v>801</v>
      </c>
      <c r="C290" s="2" t="s">
        <v>49</v>
      </c>
      <c r="D290" s="2" t="s">
        <v>43</v>
      </c>
      <c r="E290" s="2" t="s">
        <v>20</v>
      </c>
      <c r="F290" s="2">
        <v>17</v>
      </c>
      <c r="G290" s="2">
        <v>950.82</v>
      </c>
      <c r="H290" s="2">
        <v>16163.94</v>
      </c>
      <c r="I290" s="2">
        <v>12500.28</v>
      </c>
      <c r="J290" s="2">
        <v>3663.66</v>
      </c>
      <c r="K290" s="3">
        <v>45861</v>
      </c>
      <c r="L290" s="3">
        <v>45870</v>
      </c>
      <c r="M290" s="2" t="s">
        <v>26</v>
      </c>
      <c r="N290" s="2">
        <v>3</v>
      </c>
      <c r="O290" s="2" t="s">
        <v>802</v>
      </c>
      <c r="P290" s="25">
        <v>9.4</v>
      </c>
      <c r="Q290" t="str">
        <f t="shared" si="37"/>
        <v>0289</v>
      </c>
      <c r="R290" t="str">
        <f>IF('RETAIL SALES DATA.'!H290&gt;AVERAGE('RETAIL SALES DATA.'!H290:H1289),"HIGHEST VALUE","LOWEST VALUE")</f>
        <v>LOWEST VALUE</v>
      </c>
      <c r="S290" t="str">
        <f t="shared" si="38"/>
        <v>Profit</v>
      </c>
      <c r="T290" t="str">
        <f t="shared" si="39"/>
        <v>Megan Howe</v>
      </c>
      <c r="U290" t="str">
        <f t="shared" si="40"/>
        <v>Mouse</v>
      </c>
      <c r="V290">
        <f t="shared" si="41"/>
        <v>2025</v>
      </c>
      <c r="W290">
        <f t="shared" si="42"/>
        <v>8</v>
      </c>
      <c r="X290">
        <f t="shared" si="43"/>
        <v>23</v>
      </c>
      <c r="Y290" t="str">
        <f t="shared" si="44"/>
        <v>Jul</v>
      </c>
      <c r="Z290">
        <f t="shared" si="45"/>
        <v>9</v>
      </c>
    </row>
    <row r="291" spans="1:26" ht="15.75" customHeight="1" x14ac:dyDescent="0.3">
      <c r="A291" s="2" t="s">
        <v>803</v>
      </c>
      <c r="B291" s="2" t="s">
        <v>804</v>
      </c>
      <c r="C291" s="2" t="s">
        <v>62</v>
      </c>
      <c r="D291" s="2" t="s">
        <v>31</v>
      </c>
      <c r="E291" s="2" t="s">
        <v>32</v>
      </c>
      <c r="F291" s="2">
        <v>4</v>
      </c>
      <c r="G291" s="2">
        <v>3719.72</v>
      </c>
      <c r="H291" s="2">
        <v>14878.88</v>
      </c>
      <c r="I291" s="2">
        <v>12640.65</v>
      </c>
      <c r="J291" s="2">
        <v>2238.23</v>
      </c>
      <c r="K291" s="3">
        <v>45705</v>
      </c>
      <c r="L291" s="3">
        <v>45715</v>
      </c>
      <c r="M291" s="2" t="s">
        <v>33</v>
      </c>
      <c r="N291" s="2">
        <v>2</v>
      </c>
      <c r="O291" s="2" t="s">
        <v>658</v>
      </c>
      <c r="P291" s="25">
        <v>6.3</v>
      </c>
      <c r="Q291" t="str">
        <f t="shared" si="37"/>
        <v>0290</v>
      </c>
      <c r="R291" t="str">
        <f>IF('RETAIL SALES DATA.'!H291&gt;AVERAGE('RETAIL SALES DATA.'!H291:H1290),"HIGHEST VALUE","LOWEST VALUE")</f>
        <v>LOWEST VALUE</v>
      </c>
      <c r="S291" t="str">
        <f t="shared" si="38"/>
        <v>Profit</v>
      </c>
      <c r="T291" t="str">
        <f t="shared" si="39"/>
        <v>Douglas Obrien</v>
      </c>
      <c r="U291" t="str">
        <f t="shared" si="40"/>
        <v>Table</v>
      </c>
      <c r="V291">
        <f t="shared" si="41"/>
        <v>2025</v>
      </c>
      <c r="W291">
        <f t="shared" si="42"/>
        <v>2</v>
      </c>
      <c r="X291">
        <f t="shared" si="43"/>
        <v>17</v>
      </c>
      <c r="Y291" t="str">
        <f t="shared" si="44"/>
        <v>Feb</v>
      </c>
      <c r="Z291">
        <f t="shared" si="45"/>
        <v>10</v>
      </c>
    </row>
    <row r="292" spans="1:26" ht="15.75" customHeight="1" x14ac:dyDescent="0.3">
      <c r="A292" s="2" t="s">
        <v>805</v>
      </c>
      <c r="B292" s="2" t="s">
        <v>806</v>
      </c>
      <c r="C292" s="2" t="s">
        <v>219</v>
      </c>
      <c r="D292" s="2" t="s">
        <v>43</v>
      </c>
      <c r="E292" s="2" t="s">
        <v>44</v>
      </c>
      <c r="F292" s="2">
        <v>2</v>
      </c>
      <c r="G292" s="2">
        <v>443.4</v>
      </c>
      <c r="H292" s="2">
        <v>886.8</v>
      </c>
      <c r="I292" s="2">
        <v>482.93</v>
      </c>
      <c r="J292" s="2">
        <v>403.87</v>
      </c>
      <c r="K292" s="3">
        <v>45837</v>
      </c>
      <c r="L292" s="3">
        <v>45845</v>
      </c>
      <c r="M292" s="2" t="s">
        <v>50</v>
      </c>
      <c r="N292" s="2">
        <v>4</v>
      </c>
      <c r="O292" s="2" t="s">
        <v>475</v>
      </c>
      <c r="P292" s="25">
        <v>9.6</v>
      </c>
      <c r="Q292" t="str">
        <f t="shared" si="37"/>
        <v>0291</v>
      </c>
      <c r="R292" t="str">
        <f>IF('RETAIL SALES DATA.'!H292&gt;AVERAGE('RETAIL SALES DATA.'!H292:H1291),"HIGHEST VALUE","LOWEST VALUE")</f>
        <v>LOWEST VALUE</v>
      </c>
      <c r="S292" t="str">
        <f t="shared" si="38"/>
        <v>Profit</v>
      </c>
      <c r="T292" t="str">
        <f t="shared" si="39"/>
        <v>Ryan James</v>
      </c>
      <c r="U292" t="str">
        <f t="shared" si="40"/>
        <v>Smartphone</v>
      </c>
      <c r="V292">
        <f t="shared" si="41"/>
        <v>2025</v>
      </c>
      <c r="W292">
        <f t="shared" si="42"/>
        <v>7</v>
      </c>
      <c r="X292">
        <f t="shared" si="43"/>
        <v>29</v>
      </c>
      <c r="Y292" t="str">
        <f t="shared" si="44"/>
        <v>Jun</v>
      </c>
      <c r="Z292">
        <f t="shared" si="45"/>
        <v>8</v>
      </c>
    </row>
    <row r="293" spans="1:26" ht="15.75" customHeight="1" x14ac:dyDescent="0.3">
      <c r="A293" s="2" t="s">
        <v>807</v>
      </c>
      <c r="B293" s="2" t="s">
        <v>808</v>
      </c>
      <c r="C293" s="2" t="s">
        <v>168</v>
      </c>
      <c r="D293" s="2" t="s">
        <v>43</v>
      </c>
      <c r="E293" s="2" t="s">
        <v>25</v>
      </c>
      <c r="F293" s="2">
        <v>7</v>
      </c>
      <c r="G293" s="2">
        <v>1201.08</v>
      </c>
      <c r="H293" s="2">
        <v>8407.56</v>
      </c>
      <c r="I293" s="2">
        <v>5976.51</v>
      </c>
      <c r="J293" s="2">
        <v>2431.0500000000002</v>
      </c>
      <c r="K293" s="3">
        <v>45693</v>
      </c>
      <c r="L293" s="3">
        <v>45694</v>
      </c>
      <c r="M293" s="2" t="s">
        <v>50</v>
      </c>
      <c r="N293" s="2">
        <v>3</v>
      </c>
      <c r="O293" s="2" t="s">
        <v>809</v>
      </c>
      <c r="P293" s="25">
        <v>9.3000000000000007</v>
      </c>
      <c r="Q293" t="str">
        <f t="shared" si="37"/>
        <v>0292</v>
      </c>
      <c r="R293" t="str">
        <f>IF('RETAIL SALES DATA.'!H293&gt;AVERAGE('RETAIL SALES DATA.'!H293:H1292),"HIGHEST VALUE","LOWEST VALUE")</f>
        <v>LOWEST VALUE</v>
      </c>
      <c r="S293" t="str">
        <f t="shared" si="38"/>
        <v>Profit</v>
      </c>
      <c r="T293" t="str">
        <f t="shared" si="39"/>
        <v>Stephen Cowan</v>
      </c>
      <c r="U293" t="str">
        <f t="shared" si="40"/>
        <v>Keyboard</v>
      </c>
      <c r="V293">
        <f t="shared" si="41"/>
        <v>2025</v>
      </c>
      <c r="W293">
        <f t="shared" si="42"/>
        <v>2</v>
      </c>
      <c r="X293">
        <f t="shared" si="43"/>
        <v>5</v>
      </c>
      <c r="Y293" t="str">
        <f t="shared" si="44"/>
        <v>Feb</v>
      </c>
      <c r="Z293">
        <f t="shared" si="45"/>
        <v>1</v>
      </c>
    </row>
    <row r="294" spans="1:26" ht="15.75" customHeight="1" x14ac:dyDescent="0.3">
      <c r="A294" s="2" t="s">
        <v>810</v>
      </c>
      <c r="B294" s="2" t="s">
        <v>811</v>
      </c>
      <c r="C294" s="2" t="s">
        <v>42</v>
      </c>
      <c r="D294" s="2" t="s">
        <v>43</v>
      </c>
      <c r="E294" s="2" t="s">
        <v>25</v>
      </c>
      <c r="F294" s="2">
        <v>19</v>
      </c>
      <c r="G294" s="2">
        <v>4541.88</v>
      </c>
      <c r="H294" s="2">
        <v>86295.72</v>
      </c>
      <c r="I294" s="2">
        <v>71524.11</v>
      </c>
      <c r="J294" s="2">
        <v>14771.61</v>
      </c>
      <c r="K294" s="3">
        <v>45580</v>
      </c>
      <c r="L294" s="3">
        <v>45586</v>
      </c>
      <c r="M294" s="2" t="s">
        <v>21</v>
      </c>
      <c r="N294" s="2">
        <v>3</v>
      </c>
      <c r="O294" s="2" t="s">
        <v>463</v>
      </c>
      <c r="P294" s="25">
        <v>10</v>
      </c>
      <c r="Q294" t="str">
        <f t="shared" si="37"/>
        <v>0293</v>
      </c>
      <c r="R294" t="str">
        <f>IF('RETAIL SALES DATA.'!H294&gt;AVERAGE('RETAIL SALES DATA.'!H294:H1293),"HIGHEST VALUE","LOWEST VALUE")</f>
        <v>HIGHEST VALUE</v>
      </c>
      <c r="S294" t="str">
        <f t="shared" si="38"/>
        <v>Profit</v>
      </c>
      <c r="T294" t="str">
        <f t="shared" si="39"/>
        <v>Judy Johnson</v>
      </c>
      <c r="U294" t="str">
        <f t="shared" si="40"/>
        <v>Laptop</v>
      </c>
      <c r="V294">
        <f t="shared" si="41"/>
        <v>2024</v>
      </c>
      <c r="W294">
        <f t="shared" si="42"/>
        <v>10</v>
      </c>
      <c r="X294">
        <f t="shared" si="43"/>
        <v>15</v>
      </c>
      <c r="Y294" t="str">
        <f t="shared" si="44"/>
        <v>Oct</v>
      </c>
      <c r="Z294">
        <f t="shared" si="45"/>
        <v>6</v>
      </c>
    </row>
    <row r="295" spans="1:26" ht="15.75" customHeight="1" x14ac:dyDescent="0.3">
      <c r="A295" s="2" t="s">
        <v>812</v>
      </c>
      <c r="B295" s="2" t="s">
        <v>813</v>
      </c>
      <c r="C295" s="2" t="s">
        <v>219</v>
      </c>
      <c r="D295" s="2" t="s">
        <v>43</v>
      </c>
      <c r="E295" s="2" t="s">
        <v>20</v>
      </c>
      <c r="F295" s="2">
        <v>12</v>
      </c>
      <c r="G295" s="2">
        <v>1046.79</v>
      </c>
      <c r="H295" s="2">
        <v>12561.48</v>
      </c>
      <c r="I295" s="2">
        <v>8847.48</v>
      </c>
      <c r="J295" s="2">
        <v>3714</v>
      </c>
      <c r="K295" s="3">
        <v>46149</v>
      </c>
      <c r="L295" s="3">
        <v>46157</v>
      </c>
      <c r="M295" s="2" t="s">
        <v>69</v>
      </c>
      <c r="N295" s="2">
        <v>3</v>
      </c>
      <c r="O295" s="2" t="s">
        <v>96</v>
      </c>
      <c r="P295" s="25">
        <v>7.8</v>
      </c>
      <c r="Q295" t="str">
        <f t="shared" si="37"/>
        <v>0294</v>
      </c>
      <c r="R295" t="str">
        <f>IF('RETAIL SALES DATA.'!H295&gt;AVERAGE('RETAIL SALES DATA.'!H295:H1294),"HIGHEST VALUE","LOWEST VALUE")</f>
        <v>LOWEST VALUE</v>
      </c>
      <c r="S295" t="str">
        <f t="shared" si="38"/>
        <v>Profit</v>
      </c>
      <c r="T295" t="str">
        <f t="shared" si="39"/>
        <v>George Drake</v>
      </c>
      <c r="U295" t="str">
        <f t="shared" si="40"/>
        <v>Smartphone</v>
      </c>
      <c r="V295">
        <f t="shared" si="41"/>
        <v>2026</v>
      </c>
      <c r="W295">
        <f t="shared" si="42"/>
        <v>5</v>
      </c>
      <c r="X295">
        <f t="shared" si="43"/>
        <v>7</v>
      </c>
      <c r="Y295" t="str">
        <f t="shared" si="44"/>
        <v>May</v>
      </c>
      <c r="Z295">
        <f t="shared" si="45"/>
        <v>8</v>
      </c>
    </row>
    <row r="296" spans="1:26" ht="15.75" customHeight="1" x14ac:dyDescent="0.3">
      <c r="A296" s="2" t="s">
        <v>814</v>
      </c>
      <c r="B296" s="2" t="s">
        <v>815</v>
      </c>
      <c r="C296" s="2" t="s">
        <v>195</v>
      </c>
      <c r="D296" s="2" t="s">
        <v>43</v>
      </c>
      <c r="E296" s="2" t="s">
        <v>44</v>
      </c>
      <c r="F296" s="2">
        <v>11</v>
      </c>
      <c r="G296" s="2">
        <v>1725.67</v>
      </c>
      <c r="H296" s="2">
        <v>18982.37</v>
      </c>
      <c r="I296" s="2">
        <v>13196.76</v>
      </c>
      <c r="J296" s="2">
        <v>5785.61</v>
      </c>
      <c r="K296" s="3">
        <v>45433</v>
      </c>
      <c r="L296" s="3">
        <v>45439</v>
      </c>
      <c r="M296" s="2" t="s">
        <v>50</v>
      </c>
      <c r="N296" s="2">
        <v>1</v>
      </c>
      <c r="O296" s="2" t="s">
        <v>102</v>
      </c>
      <c r="P296" s="25">
        <v>8.3000000000000007</v>
      </c>
      <c r="Q296" t="str">
        <f t="shared" si="37"/>
        <v>0295</v>
      </c>
      <c r="R296" t="str">
        <f>IF('RETAIL SALES DATA.'!H296&gt;AVERAGE('RETAIL SALES DATA.'!H296:H1295),"HIGHEST VALUE","LOWEST VALUE")</f>
        <v>LOWEST VALUE</v>
      </c>
      <c r="S296" t="str">
        <f t="shared" si="38"/>
        <v>Profit</v>
      </c>
      <c r="T296" t="str">
        <f t="shared" si="39"/>
        <v>Connie Robles</v>
      </c>
      <c r="U296" t="str">
        <f t="shared" si="40"/>
        <v>Monitor</v>
      </c>
      <c r="V296">
        <f t="shared" si="41"/>
        <v>2024</v>
      </c>
      <c r="W296">
        <f t="shared" si="42"/>
        <v>5</v>
      </c>
      <c r="X296">
        <f t="shared" si="43"/>
        <v>21</v>
      </c>
      <c r="Y296" t="str">
        <f t="shared" si="44"/>
        <v>May</v>
      </c>
      <c r="Z296">
        <f t="shared" si="45"/>
        <v>6</v>
      </c>
    </row>
    <row r="297" spans="1:26" ht="15.75" customHeight="1" x14ac:dyDescent="0.3">
      <c r="A297" s="2" t="s">
        <v>816</v>
      </c>
      <c r="B297" s="2" t="s">
        <v>817</v>
      </c>
      <c r="C297" s="2" t="s">
        <v>219</v>
      </c>
      <c r="D297" s="2" t="s">
        <v>43</v>
      </c>
      <c r="E297" s="2" t="s">
        <v>44</v>
      </c>
      <c r="F297" s="2">
        <v>4</v>
      </c>
      <c r="G297" s="2">
        <v>2624.51</v>
      </c>
      <c r="H297" s="2">
        <v>10498.04</v>
      </c>
      <c r="I297" s="2">
        <v>6771.89</v>
      </c>
      <c r="J297" s="2">
        <v>3726.15</v>
      </c>
      <c r="K297" s="3">
        <v>45528</v>
      </c>
      <c r="L297" s="3">
        <v>45538</v>
      </c>
      <c r="M297" s="2" t="s">
        <v>69</v>
      </c>
      <c r="N297" s="2">
        <v>3</v>
      </c>
      <c r="O297" s="2" t="s">
        <v>818</v>
      </c>
      <c r="P297" s="25">
        <v>6.6</v>
      </c>
      <c r="Q297" t="str">
        <f t="shared" si="37"/>
        <v>0296</v>
      </c>
      <c r="R297" t="str">
        <f>IF('RETAIL SALES DATA.'!H297&gt;AVERAGE('RETAIL SALES DATA.'!H297:H1296),"HIGHEST VALUE","LOWEST VALUE")</f>
        <v>LOWEST VALUE</v>
      </c>
      <c r="S297" t="str">
        <f t="shared" si="38"/>
        <v>Profit</v>
      </c>
      <c r="T297" t="str">
        <f t="shared" si="39"/>
        <v>Tamara Daniels</v>
      </c>
      <c r="U297" t="str">
        <f t="shared" si="40"/>
        <v>Smartphone</v>
      </c>
      <c r="V297">
        <f t="shared" si="41"/>
        <v>2024</v>
      </c>
      <c r="W297">
        <f t="shared" si="42"/>
        <v>9</v>
      </c>
      <c r="X297">
        <f t="shared" si="43"/>
        <v>24</v>
      </c>
      <c r="Y297" t="str">
        <f t="shared" si="44"/>
        <v>Aug</v>
      </c>
      <c r="Z297">
        <f t="shared" si="45"/>
        <v>10</v>
      </c>
    </row>
    <row r="298" spans="1:26" ht="15.75" customHeight="1" x14ac:dyDescent="0.3">
      <c r="A298" s="2" t="s">
        <v>819</v>
      </c>
      <c r="B298" s="2" t="s">
        <v>820</v>
      </c>
      <c r="C298" s="2" t="s">
        <v>42</v>
      </c>
      <c r="D298" s="2" t="s">
        <v>43</v>
      </c>
      <c r="E298" s="2" t="s">
        <v>44</v>
      </c>
      <c r="F298" s="2">
        <v>9</v>
      </c>
      <c r="G298" s="2">
        <v>3015.72</v>
      </c>
      <c r="H298" s="2">
        <v>27141.48</v>
      </c>
      <c r="I298" s="2">
        <v>22044.92</v>
      </c>
      <c r="J298" s="2">
        <v>5096.5600000000004</v>
      </c>
      <c r="K298" s="3">
        <v>45717</v>
      </c>
      <c r="L298" s="3">
        <v>45724</v>
      </c>
      <c r="M298" s="2" t="s">
        <v>58</v>
      </c>
      <c r="N298" s="2">
        <v>5</v>
      </c>
      <c r="O298" s="2" t="s">
        <v>105</v>
      </c>
      <c r="P298" s="25">
        <v>9.3000000000000007</v>
      </c>
      <c r="Q298" t="str">
        <f t="shared" si="37"/>
        <v>0297</v>
      </c>
      <c r="R298" t="str">
        <f>IF('RETAIL SALES DATA.'!H298&gt;AVERAGE('RETAIL SALES DATA.'!H298:H1297),"HIGHEST VALUE","LOWEST VALUE")</f>
        <v>HIGHEST VALUE</v>
      </c>
      <c r="S298" t="str">
        <f t="shared" si="38"/>
        <v>Profit</v>
      </c>
      <c r="T298" t="str">
        <f t="shared" si="39"/>
        <v>Samantha Casey</v>
      </c>
      <c r="U298" t="str">
        <f t="shared" si="40"/>
        <v>Laptop</v>
      </c>
      <c r="V298">
        <f t="shared" si="41"/>
        <v>2025</v>
      </c>
      <c r="W298">
        <f t="shared" si="42"/>
        <v>3</v>
      </c>
      <c r="X298">
        <f t="shared" si="43"/>
        <v>1</v>
      </c>
      <c r="Y298" t="str">
        <f t="shared" si="44"/>
        <v>Mar</v>
      </c>
      <c r="Z298">
        <f t="shared" si="45"/>
        <v>7</v>
      </c>
    </row>
    <row r="299" spans="1:26" ht="15.75" customHeight="1" x14ac:dyDescent="0.3">
      <c r="A299" s="2" t="s">
        <v>821</v>
      </c>
      <c r="B299" s="2" t="s">
        <v>822</v>
      </c>
      <c r="C299" s="2" t="s">
        <v>219</v>
      </c>
      <c r="D299" s="2" t="s">
        <v>43</v>
      </c>
      <c r="E299" s="2" t="s">
        <v>20</v>
      </c>
      <c r="F299" s="2">
        <v>12</v>
      </c>
      <c r="G299" s="2">
        <v>931.03</v>
      </c>
      <c r="H299" s="2">
        <v>11172.36</v>
      </c>
      <c r="I299" s="2">
        <v>7320.42</v>
      </c>
      <c r="J299" s="2">
        <v>3851.94</v>
      </c>
      <c r="K299" s="3">
        <v>46050</v>
      </c>
      <c r="L299" s="3">
        <v>46058</v>
      </c>
      <c r="M299" s="2" t="s">
        <v>38</v>
      </c>
      <c r="N299" s="2">
        <v>2</v>
      </c>
      <c r="O299" s="2" t="s">
        <v>823</v>
      </c>
      <c r="P299" s="25">
        <v>7.4</v>
      </c>
      <c r="Q299" t="str">
        <f t="shared" si="37"/>
        <v>0298</v>
      </c>
      <c r="R299" t="str">
        <f>IF('RETAIL SALES DATA.'!H299&gt;AVERAGE('RETAIL SALES DATA.'!H299:H1298),"HIGHEST VALUE","LOWEST VALUE")</f>
        <v>LOWEST VALUE</v>
      </c>
      <c r="S299" t="str">
        <f t="shared" si="38"/>
        <v>Profit</v>
      </c>
      <c r="T299" t="str">
        <f t="shared" si="39"/>
        <v>Kimberly Nicholson</v>
      </c>
      <c r="U299" t="str">
        <f t="shared" si="40"/>
        <v>Smartphone</v>
      </c>
      <c r="V299">
        <f t="shared" si="41"/>
        <v>2026</v>
      </c>
      <c r="W299">
        <f t="shared" si="42"/>
        <v>2</v>
      </c>
      <c r="X299">
        <f t="shared" si="43"/>
        <v>28</v>
      </c>
      <c r="Y299" t="str">
        <f t="shared" si="44"/>
        <v>Jan</v>
      </c>
      <c r="Z299">
        <f t="shared" si="45"/>
        <v>8</v>
      </c>
    </row>
    <row r="300" spans="1:26" ht="15.75" customHeight="1" x14ac:dyDescent="0.3">
      <c r="A300" s="2" t="s">
        <v>824</v>
      </c>
      <c r="B300" s="2" t="s">
        <v>825</v>
      </c>
      <c r="C300" s="2" t="s">
        <v>195</v>
      </c>
      <c r="D300" s="2" t="s">
        <v>43</v>
      </c>
      <c r="E300" s="2" t="s">
        <v>32</v>
      </c>
      <c r="F300" s="2">
        <v>4</v>
      </c>
      <c r="G300" s="2">
        <v>2315.23</v>
      </c>
      <c r="H300" s="2">
        <v>9260.92</v>
      </c>
      <c r="I300" s="2">
        <v>5838</v>
      </c>
      <c r="J300" s="2">
        <v>3422.92</v>
      </c>
      <c r="K300" s="3">
        <v>45459</v>
      </c>
      <c r="L300" s="3">
        <v>45465</v>
      </c>
      <c r="M300" s="2" t="s">
        <v>181</v>
      </c>
      <c r="N300" s="2">
        <v>3</v>
      </c>
      <c r="O300" s="2" t="s">
        <v>76</v>
      </c>
      <c r="P300" s="25">
        <v>7</v>
      </c>
      <c r="Q300" t="str">
        <f t="shared" si="37"/>
        <v>0299</v>
      </c>
      <c r="R300" t="str">
        <f>IF('RETAIL SALES DATA.'!H300&gt;AVERAGE('RETAIL SALES DATA.'!H300:H1299),"HIGHEST VALUE","LOWEST VALUE")</f>
        <v>LOWEST VALUE</v>
      </c>
      <c r="S300" t="str">
        <f t="shared" si="38"/>
        <v>Profit</v>
      </c>
      <c r="T300" t="str">
        <f t="shared" si="39"/>
        <v>Holly Hammond</v>
      </c>
      <c r="U300" t="str">
        <f t="shared" si="40"/>
        <v>Monitor</v>
      </c>
      <c r="V300">
        <f t="shared" si="41"/>
        <v>2024</v>
      </c>
      <c r="W300">
        <f t="shared" si="42"/>
        <v>6</v>
      </c>
      <c r="X300">
        <f t="shared" si="43"/>
        <v>16</v>
      </c>
      <c r="Y300" t="str">
        <f t="shared" si="44"/>
        <v>Jun</v>
      </c>
      <c r="Z300">
        <f t="shared" si="45"/>
        <v>6</v>
      </c>
    </row>
    <row r="301" spans="1:26" ht="15.75" customHeight="1" x14ac:dyDescent="0.3">
      <c r="A301" s="2" t="s">
        <v>826</v>
      </c>
      <c r="B301" s="2" t="s">
        <v>827</v>
      </c>
      <c r="C301" s="2" t="s">
        <v>57</v>
      </c>
      <c r="D301" s="2" t="s">
        <v>19</v>
      </c>
      <c r="E301" s="2" t="s">
        <v>32</v>
      </c>
      <c r="F301" s="2">
        <v>6</v>
      </c>
      <c r="G301" s="2">
        <v>4601.87</v>
      </c>
      <c r="H301" s="2">
        <v>27611.22</v>
      </c>
      <c r="I301" s="2">
        <v>19445.82</v>
      </c>
      <c r="J301" s="2">
        <v>8165.4</v>
      </c>
      <c r="K301" s="3">
        <v>45637</v>
      </c>
      <c r="L301" s="3">
        <v>45647</v>
      </c>
      <c r="M301" s="2" t="s">
        <v>69</v>
      </c>
      <c r="N301" s="2">
        <v>3</v>
      </c>
      <c r="O301" s="2" t="s">
        <v>828</v>
      </c>
      <c r="P301" s="25">
        <v>9.9</v>
      </c>
      <c r="Q301" t="str">
        <f t="shared" si="37"/>
        <v>0300</v>
      </c>
      <c r="R301" t="str">
        <f>IF('RETAIL SALES DATA.'!H301&gt;AVERAGE('RETAIL SALES DATA.'!H301:H1300),"HIGHEST VALUE","LOWEST VALUE")</f>
        <v>HIGHEST VALUE</v>
      </c>
      <c r="S301" t="str">
        <f t="shared" si="38"/>
        <v>Profit</v>
      </c>
      <c r="T301" t="str">
        <f t="shared" si="39"/>
        <v>Ricky King</v>
      </c>
      <c r="U301" t="str">
        <f t="shared" si="40"/>
        <v>Notebook</v>
      </c>
      <c r="V301">
        <f t="shared" si="41"/>
        <v>2024</v>
      </c>
      <c r="W301">
        <f t="shared" si="42"/>
        <v>12</v>
      </c>
      <c r="X301">
        <f t="shared" si="43"/>
        <v>11</v>
      </c>
      <c r="Y301" t="str">
        <f t="shared" si="44"/>
        <v>Dec</v>
      </c>
      <c r="Z301">
        <f t="shared" si="45"/>
        <v>10</v>
      </c>
    </row>
    <row r="302" spans="1:26" ht="15.75" customHeight="1" x14ac:dyDescent="0.3">
      <c r="A302" s="2" t="s">
        <v>829</v>
      </c>
      <c r="B302" s="2" t="s">
        <v>830</v>
      </c>
      <c r="C302" s="2" t="s">
        <v>49</v>
      </c>
      <c r="D302" s="2" t="s">
        <v>43</v>
      </c>
      <c r="E302" s="2" t="s">
        <v>44</v>
      </c>
      <c r="F302" s="2">
        <v>4</v>
      </c>
      <c r="G302" s="2">
        <v>285.51</v>
      </c>
      <c r="H302" s="2">
        <v>1142.04</v>
      </c>
      <c r="I302" s="2">
        <v>935.56</v>
      </c>
      <c r="J302" s="2">
        <v>206.48</v>
      </c>
      <c r="K302" s="3">
        <v>45575</v>
      </c>
      <c r="L302" s="3">
        <v>45581</v>
      </c>
      <c r="M302" s="2" t="s">
        <v>123</v>
      </c>
      <c r="N302" s="2">
        <v>4</v>
      </c>
      <c r="O302" s="2" t="s">
        <v>85</v>
      </c>
      <c r="P302" s="25">
        <v>8.6999999999999993</v>
      </c>
      <c r="Q302" t="str">
        <f t="shared" si="37"/>
        <v>0301</v>
      </c>
      <c r="R302" t="str">
        <f>IF('RETAIL SALES DATA.'!H302&gt;AVERAGE('RETAIL SALES DATA.'!H302:H1301),"HIGHEST VALUE","LOWEST VALUE")</f>
        <v>LOWEST VALUE</v>
      </c>
      <c r="S302" t="str">
        <f t="shared" si="38"/>
        <v>Profit</v>
      </c>
      <c r="T302" t="str">
        <f t="shared" si="39"/>
        <v>Anthony Randall</v>
      </c>
      <c r="U302" t="str">
        <f t="shared" si="40"/>
        <v>Mouse</v>
      </c>
      <c r="V302">
        <f t="shared" si="41"/>
        <v>2024</v>
      </c>
      <c r="W302">
        <f t="shared" si="42"/>
        <v>10</v>
      </c>
      <c r="X302">
        <f t="shared" si="43"/>
        <v>10</v>
      </c>
      <c r="Y302" t="str">
        <f t="shared" si="44"/>
        <v>Oct</v>
      </c>
      <c r="Z302">
        <f t="shared" si="45"/>
        <v>6</v>
      </c>
    </row>
    <row r="303" spans="1:26" ht="15.75" customHeight="1" x14ac:dyDescent="0.3">
      <c r="A303" s="2" t="s">
        <v>831</v>
      </c>
      <c r="B303" s="2" t="s">
        <v>832</v>
      </c>
      <c r="C303" s="2" t="s">
        <v>195</v>
      </c>
      <c r="D303" s="2" t="s">
        <v>43</v>
      </c>
      <c r="E303" s="2" t="s">
        <v>32</v>
      </c>
      <c r="F303" s="2">
        <v>17</v>
      </c>
      <c r="G303" s="2">
        <v>1808.65</v>
      </c>
      <c r="H303" s="2">
        <v>30747.05</v>
      </c>
      <c r="I303" s="2">
        <v>22429.42</v>
      </c>
      <c r="J303" s="2">
        <v>8317.6299999999992</v>
      </c>
      <c r="K303" s="3">
        <v>45503</v>
      </c>
      <c r="L303" s="3">
        <v>45504</v>
      </c>
      <c r="M303" s="2" t="s">
        <v>69</v>
      </c>
      <c r="N303" s="2">
        <v>2</v>
      </c>
      <c r="O303" s="2" t="s">
        <v>111</v>
      </c>
      <c r="P303" s="25">
        <v>8.1</v>
      </c>
      <c r="Q303" t="str">
        <f t="shared" si="37"/>
        <v>0302</v>
      </c>
      <c r="R303" t="str">
        <f>IF('RETAIL SALES DATA.'!H303&gt;AVERAGE('RETAIL SALES DATA.'!H303:H1302),"HIGHEST VALUE","LOWEST VALUE")</f>
        <v>HIGHEST VALUE</v>
      </c>
      <c r="S303" t="str">
        <f t="shared" si="38"/>
        <v>Profit</v>
      </c>
      <c r="T303" t="str">
        <f t="shared" si="39"/>
        <v>Shawn Bennett</v>
      </c>
      <c r="U303" t="str">
        <f t="shared" si="40"/>
        <v>Monitor</v>
      </c>
      <c r="V303">
        <f t="shared" si="41"/>
        <v>2024</v>
      </c>
      <c r="W303">
        <f t="shared" si="42"/>
        <v>7</v>
      </c>
      <c r="X303">
        <f t="shared" si="43"/>
        <v>30</v>
      </c>
      <c r="Y303" t="str">
        <f t="shared" si="44"/>
        <v>Jul</v>
      </c>
      <c r="Z303">
        <f t="shared" si="45"/>
        <v>1</v>
      </c>
    </row>
    <row r="304" spans="1:26" ht="15.75" customHeight="1" x14ac:dyDescent="0.3">
      <c r="A304" s="2" t="s">
        <v>833</v>
      </c>
      <c r="B304" s="2" t="s">
        <v>834</v>
      </c>
      <c r="C304" s="2" t="s">
        <v>49</v>
      </c>
      <c r="D304" s="2" t="s">
        <v>43</v>
      </c>
      <c r="E304" s="2" t="s">
        <v>32</v>
      </c>
      <c r="F304" s="2">
        <v>6</v>
      </c>
      <c r="G304" s="2">
        <v>4670.55</v>
      </c>
      <c r="H304" s="2">
        <v>28023.3</v>
      </c>
      <c r="I304" s="2">
        <v>16084.6</v>
      </c>
      <c r="J304" s="2">
        <v>11938.7</v>
      </c>
      <c r="K304" s="3">
        <v>45806</v>
      </c>
      <c r="L304" s="3">
        <v>45807</v>
      </c>
      <c r="M304" s="2" t="s">
        <v>45</v>
      </c>
      <c r="N304" s="2">
        <v>2</v>
      </c>
      <c r="O304" s="2" t="s">
        <v>741</v>
      </c>
      <c r="P304" s="25">
        <v>7.1</v>
      </c>
      <c r="Q304" t="str">
        <f t="shared" si="37"/>
        <v>0303</v>
      </c>
      <c r="R304" t="str">
        <f>IF('RETAIL SALES DATA.'!H304&gt;AVERAGE('RETAIL SALES DATA.'!H304:H1303),"HIGHEST VALUE","LOWEST VALUE")</f>
        <v>HIGHEST VALUE</v>
      </c>
      <c r="S304" t="str">
        <f t="shared" si="38"/>
        <v>Profit</v>
      </c>
      <c r="T304" t="str">
        <f t="shared" si="39"/>
        <v>Adam Walton</v>
      </c>
      <c r="U304" t="str">
        <f t="shared" si="40"/>
        <v>Mouse</v>
      </c>
      <c r="V304">
        <f t="shared" si="41"/>
        <v>2025</v>
      </c>
      <c r="W304">
        <f t="shared" si="42"/>
        <v>5</v>
      </c>
      <c r="X304">
        <f t="shared" si="43"/>
        <v>29</v>
      </c>
      <c r="Y304" t="str">
        <f t="shared" si="44"/>
        <v>May</v>
      </c>
      <c r="Z304">
        <f t="shared" si="45"/>
        <v>1</v>
      </c>
    </row>
    <row r="305" spans="1:26" ht="15.75" customHeight="1" x14ac:dyDescent="0.3">
      <c r="A305" s="2" t="s">
        <v>835</v>
      </c>
      <c r="B305" s="2" t="s">
        <v>836</v>
      </c>
      <c r="C305" s="2" t="s">
        <v>144</v>
      </c>
      <c r="D305" s="2" t="s">
        <v>19</v>
      </c>
      <c r="E305" s="2" t="s">
        <v>20</v>
      </c>
      <c r="F305" s="2">
        <v>12</v>
      </c>
      <c r="G305" s="2">
        <v>4038.43</v>
      </c>
      <c r="H305" s="2">
        <v>48461.16</v>
      </c>
      <c r="I305" s="2">
        <v>39004.51</v>
      </c>
      <c r="J305" s="2">
        <v>9456.65</v>
      </c>
      <c r="K305" s="3">
        <v>45433</v>
      </c>
      <c r="L305" s="3">
        <v>45442</v>
      </c>
      <c r="M305" s="2" t="s">
        <v>38</v>
      </c>
      <c r="N305" s="2">
        <v>3</v>
      </c>
      <c r="O305" s="2" t="s">
        <v>648</v>
      </c>
      <c r="P305" s="25">
        <v>7.7</v>
      </c>
      <c r="Q305" t="str">
        <f t="shared" si="37"/>
        <v>0304</v>
      </c>
      <c r="R305" t="str">
        <f>IF('RETAIL SALES DATA.'!H305&gt;AVERAGE('RETAIL SALES DATA.'!H305:H1304),"HIGHEST VALUE","LOWEST VALUE")</f>
        <v>HIGHEST VALUE</v>
      </c>
      <c r="S305" t="str">
        <f t="shared" si="38"/>
        <v>Profit</v>
      </c>
      <c r="T305" t="str">
        <f t="shared" si="39"/>
        <v>Joseph Washington</v>
      </c>
      <c r="U305" t="str">
        <f t="shared" si="40"/>
        <v>File</v>
      </c>
      <c r="V305">
        <f t="shared" si="41"/>
        <v>2024</v>
      </c>
      <c r="W305">
        <f t="shared" si="42"/>
        <v>5</v>
      </c>
      <c r="X305">
        <f t="shared" si="43"/>
        <v>21</v>
      </c>
      <c r="Y305" t="str">
        <f t="shared" si="44"/>
        <v>May</v>
      </c>
      <c r="Z305">
        <f t="shared" si="45"/>
        <v>9</v>
      </c>
    </row>
    <row r="306" spans="1:26" ht="15.75" customHeight="1" x14ac:dyDescent="0.3">
      <c r="A306" s="2" t="s">
        <v>837</v>
      </c>
      <c r="B306" s="2" t="s">
        <v>838</v>
      </c>
      <c r="C306" s="2" t="s">
        <v>219</v>
      </c>
      <c r="D306" s="2" t="s">
        <v>43</v>
      </c>
      <c r="E306" s="2" t="s">
        <v>32</v>
      </c>
      <c r="F306" s="2">
        <v>18</v>
      </c>
      <c r="G306" s="2">
        <v>4619.62</v>
      </c>
      <c r="H306" s="2">
        <v>83153.16</v>
      </c>
      <c r="I306" s="2">
        <v>50203.76</v>
      </c>
      <c r="J306" s="2">
        <v>32949.4</v>
      </c>
      <c r="K306" s="3">
        <v>45937</v>
      </c>
      <c r="L306" s="3">
        <v>45940</v>
      </c>
      <c r="M306" s="2" t="s">
        <v>45</v>
      </c>
      <c r="N306" s="2">
        <v>3</v>
      </c>
      <c r="O306" s="2" t="s">
        <v>839</v>
      </c>
      <c r="P306" s="25">
        <v>6.4</v>
      </c>
      <c r="Q306" t="str">
        <f t="shared" si="37"/>
        <v>0305</v>
      </c>
      <c r="R306" t="str">
        <f>IF('RETAIL SALES DATA.'!H306&gt;AVERAGE('RETAIL SALES DATA.'!H306:H1305),"HIGHEST VALUE","LOWEST VALUE")</f>
        <v>HIGHEST VALUE</v>
      </c>
      <c r="S306" t="str">
        <f t="shared" si="38"/>
        <v>Profit</v>
      </c>
      <c r="T306" t="str">
        <f t="shared" si="39"/>
        <v>Audrey Townsend</v>
      </c>
      <c r="U306" t="str">
        <f t="shared" si="40"/>
        <v>Smartphone</v>
      </c>
      <c r="V306">
        <f t="shared" si="41"/>
        <v>2025</v>
      </c>
      <c r="W306">
        <f t="shared" si="42"/>
        <v>10</v>
      </c>
      <c r="X306">
        <f t="shared" si="43"/>
        <v>7</v>
      </c>
      <c r="Y306" t="str">
        <f t="shared" si="44"/>
        <v>Oct</v>
      </c>
      <c r="Z306">
        <f t="shared" si="45"/>
        <v>3</v>
      </c>
    </row>
    <row r="307" spans="1:26" ht="15.75" customHeight="1" x14ac:dyDescent="0.3">
      <c r="A307" s="2" t="s">
        <v>840</v>
      </c>
      <c r="B307" s="2" t="s">
        <v>841</v>
      </c>
      <c r="C307" s="2" t="s">
        <v>49</v>
      </c>
      <c r="D307" s="2" t="s">
        <v>43</v>
      </c>
      <c r="E307" s="2" t="s">
        <v>44</v>
      </c>
      <c r="F307" s="2">
        <v>3</v>
      </c>
      <c r="G307" s="2">
        <v>3638.04</v>
      </c>
      <c r="H307" s="2">
        <v>10914.12</v>
      </c>
      <c r="I307" s="2">
        <v>8449.32</v>
      </c>
      <c r="J307" s="2">
        <v>2464.8000000000002</v>
      </c>
      <c r="K307" s="3">
        <v>45455</v>
      </c>
      <c r="L307" s="3">
        <v>45456</v>
      </c>
      <c r="M307" s="2" t="s">
        <v>123</v>
      </c>
      <c r="N307" s="2">
        <v>1</v>
      </c>
      <c r="O307" s="2" t="s">
        <v>749</v>
      </c>
      <c r="P307" s="25">
        <v>8.4</v>
      </c>
      <c r="Q307" t="str">
        <f t="shared" si="37"/>
        <v>0306</v>
      </c>
      <c r="R307" t="str">
        <f>IF('RETAIL SALES DATA.'!H307&gt;AVERAGE('RETAIL SALES DATA.'!H307:H1306),"HIGHEST VALUE","LOWEST VALUE")</f>
        <v>LOWEST VALUE</v>
      </c>
      <c r="S307" t="str">
        <f t="shared" si="38"/>
        <v>Profit</v>
      </c>
      <c r="T307" t="str">
        <f t="shared" si="39"/>
        <v>Robin Dorsey</v>
      </c>
      <c r="U307" t="str">
        <f t="shared" si="40"/>
        <v>Mouse</v>
      </c>
      <c r="V307">
        <f t="shared" si="41"/>
        <v>2024</v>
      </c>
      <c r="W307">
        <f t="shared" si="42"/>
        <v>6</v>
      </c>
      <c r="X307">
        <f t="shared" si="43"/>
        <v>12</v>
      </c>
      <c r="Y307" t="str">
        <f t="shared" si="44"/>
        <v>Jun</v>
      </c>
      <c r="Z307">
        <f t="shared" si="45"/>
        <v>1</v>
      </c>
    </row>
    <row r="308" spans="1:26" ht="15.75" customHeight="1" x14ac:dyDescent="0.3">
      <c r="A308" s="2" t="s">
        <v>842</v>
      </c>
      <c r="B308" s="2" t="s">
        <v>843</v>
      </c>
      <c r="C308" s="2" t="s">
        <v>72</v>
      </c>
      <c r="D308" s="2" t="s">
        <v>31</v>
      </c>
      <c r="E308" s="2" t="s">
        <v>44</v>
      </c>
      <c r="F308" s="2">
        <v>1</v>
      </c>
      <c r="G308" s="2">
        <v>1798.44</v>
      </c>
      <c r="H308" s="2">
        <v>1798.44</v>
      </c>
      <c r="I308" s="2">
        <v>1574.32</v>
      </c>
      <c r="J308" s="2">
        <v>224.12</v>
      </c>
      <c r="K308" s="3">
        <v>45870</v>
      </c>
      <c r="L308" s="3">
        <v>45873</v>
      </c>
      <c r="M308" s="2" t="s">
        <v>69</v>
      </c>
      <c r="N308" s="2">
        <v>1</v>
      </c>
      <c r="O308" s="2" t="s">
        <v>785</v>
      </c>
      <c r="P308" s="25">
        <v>7.8</v>
      </c>
      <c r="Q308" t="str">
        <f t="shared" si="37"/>
        <v>0307</v>
      </c>
      <c r="R308" t="str">
        <f>IF('RETAIL SALES DATA.'!H308&gt;AVERAGE('RETAIL SALES DATA.'!H308:H1307),"HIGHEST VALUE","LOWEST VALUE")</f>
        <v>LOWEST VALUE</v>
      </c>
      <c r="S308" t="str">
        <f t="shared" si="38"/>
        <v>Profit</v>
      </c>
      <c r="T308" t="str">
        <f t="shared" si="39"/>
        <v>Susan Francis</v>
      </c>
      <c r="U308" t="str">
        <f t="shared" si="40"/>
        <v>Chair</v>
      </c>
      <c r="V308">
        <f t="shared" si="41"/>
        <v>2025</v>
      </c>
      <c r="W308">
        <f t="shared" si="42"/>
        <v>8</v>
      </c>
      <c r="X308">
        <f t="shared" si="43"/>
        <v>1</v>
      </c>
      <c r="Y308" t="str">
        <f t="shared" si="44"/>
        <v>Aug</v>
      </c>
      <c r="Z308">
        <f t="shared" si="45"/>
        <v>3</v>
      </c>
    </row>
    <row r="309" spans="1:26" ht="15.75" customHeight="1" x14ac:dyDescent="0.3">
      <c r="A309" s="2" t="s">
        <v>844</v>
      </c>
      <c r="B309" s="2" t="s">
        <v>845</v>
      </c>
      <c r="C309" s="2" t="s">
        <v>30</v>
      </c>
      <c r="D309" s="2" t="s">
        <v>31</v>
      </c>
      <c r="E309" s="2" t="s">
        <v>32</v>
      </c>
      <c r="F309" s="2">
        <v>9</v>
      </c>
      <c r="G309" s="2">
        <v>4413.1499999999996</v>
      </c>
      <c r="H309" s="2">
        <v>39718.35</v>
      </c>
      <c r="I309" s="2">
        <v>21170.61</v>
      </c>
      <c r="J309" s="2">
        <v>18547.740000000002</v>
      </c>
      <c r="K309" s="3">
        <v>45685</v>
      </c>
      <c r="L309" s="3">
        <v>45694</v>
      </c>
      <c r="M309" s="2" t="s">
        <v>181</v>
      </c>
      <c r="N309" s="2">
        <v>5</v>
      </c>
      <c r="O309" s="2" t="s">
        <v>79</v>
      </c>
      <c r="P309" s="25">
        <v>7</v>
      </c>
      <c r="Q309" t="str">
        <f t="shared" si="37"/>
        <v>0308</v>
      </c>
      <c r="R309" t="str">
        <f>IF('RETAIL SALES DATA.'!H309&gt;AVERAGE('RETAIL SALES DATA.'!H309:H1308),"HIGHEST VALUE","LOWEST VALUE")</f>
        <v>HIGHEST VALUE</v>
      </c>
      <c r="S309" t="str">
        <f t="shared" si="38"/>
        <v>Profit</v>
      </c>
      <c r="T309" t="str">
        <f t="shared" si="39"/>
        <v>Joseph Mckinney</v>
      </c>
      <c r="U309" t="str">
        <f t="shared" si="40"/>
        <v>Desk</v>
      </c>
      <c r="V309">
        <f t="shared" si="41"/>
        <v>2025</v>
      </c>
      <c r="W309">
        <f t="shared" si="42"/>
        <v>2</v>
      </c>
      <c r="X309">
        <f t="shared" si="43"/>
        <v>28</v>
      </c>
      <c r="Y309" t="str">
        <f t="shared" si="44"/>
        <v>Jan</v>
      </c>
      <c r="Z309">
        <f t="shared" si="45"/>
        <v>9</v>
      </c>
    </row>
    <row r="310" spans="1:26" ht="15.75" customHeight="1" x14ac:dyDescent="0.3">
      <c r="A310" s="2" t="s">
        <v>846</v>
      </c>
      <c r="B310" s="2" t="s">
        <v>847</v>
      </c>
      <c r="C310" s="2" t="s">
        <v>30</v>
      </c>
      <c r="D310" s="2" t="s">
        <v>31</v>
      </c>
      <c r="E310" s="2" t="s">
        <v>25</v>
      </c>
      <c r="F310" s="2">
        <v>17</v>
      </c>
      <c r="G310" s="2">
        <v>3420.25</v>
      </c>
      <c r="H310" s="2">
        <v>58144.25</v>
      </c>
      <c r="I310" s="2">
        <v>47056.54</v>
      </c>
      <c r="J310" s="2">
        <v>11087.71</v>
      </c>
      <c r="K310" s="3">
        <v>45776</v>
      </c>
      <c r="L310" s="3">
        <v>45778</v>
      </c>
      <c r="M310" s="2" t="s">
        <v>58</v>
      </c>
      <c r="N310" s="2">
        <v>5</v>
      </c>
      <c r="O310" s="2" t="s">
        <v>672</v>
      </c>
      <c r="P310" s="25">
        <v>9.6</v>
      </c>
      <c r="Q310" t="str">
        <f t="shared" si="37"/>
        <v>0309</v>
      </c>
      <c r="R310" t="str">
        <f>IF('RETAIL SALES DATA.'!H310&gt;AVERAGE('RETAIL SALES DATA.'!H310:H1309),"HIGHEST VALUE","LOWEST VALUE")</f>
        <v>HIGHEST VALUE</v>
      </c>
      <c r="S310" t="str">
        <f t="shared" si="38"/>
        <v>Profit</v>
      </c>
      <c r="T310" t="str">
        <f t="shared" si="39"/>
        <v>Christine Moore</v>
      </c>
      <c r="U310" t="str">
        <f t="shared" si="40"/>
        <v>Desk</v>
      </c>
      <c r="V310">
        <f t="shared" si="41"/>
        <v>2025</v>
      </c>
      <c r="W310">
        <f t="shared" si="42"/>
        <v>5</v>
      </c>
      <c r="X310">
        <f t="shared" si="43"/>
        <v>29</v>
      </c>
      <c r="Y310" t="str">
        <f t="shared" si="44"/>
        <v>Apr</v>
      </c>
      <c r="Z310">
        <f t="shared" si="45"/>
        <v>2</v>
      </c>
    </row>
    <row r="311" spans="1:26" ht="15.75" customHeight="1" x14ac:dyDescent="0.3">
      <c r="A311" s="2" t="s">
        <v>848</v>
      </c>
      <c r="B311" s="2" t="s">
        <v>849</v>
      </c>
      <c r="C311" s="2" t="s">
        <v>42</v>
      </c>
      <c r="D311" s="2" t="s">
        <v>43</v>
      </c>
      <c r="E311" s="2" t="s">
        <v>32</v>
      </c>
      <c r="F311" s="2">
        <v>10</v>
      </c>
      <c r="G311" s="2">
        <v>1491.71</v>
      </c>
      <c r="H311" s="2">
        <v>14917.1</v>
      </c>
      <c r="I311" s="2">
        <v>8202.01</v>
      </c>
      <c r="J311" s="2">
        <v>6715.09</v>
      </c>
      <c r="K311" s="3">
        <v>45654</v>
      </c>
      <c r="L311" s="3">
        <v>45657</v>
      </c>
      <c r="M311" s="2" t="s">
        <v>45</v>
      </c>
      <c r="N311" s="2">
        <v>2</v>
      </c>
      <c r="O311" s="2" t="s">
        <v>208</v>
      </c>
      <c r="P311" s="25">
        <v>6.4</v>
      </c>
      <c r="Q311" t="str">
        <f t="shared" si="37"/>
        <v>0310</v>
      </c>
      <c r="R311" t="str">
        <f>IF('RETAIL SALES DATA.'!H311&gt;AVERAGE('RETAIL SALES DATA.'!H311:H1310),"HIGHEST VALUE","LOWEST VALUE")</f>
        <v>LOWEST VALUE</v>
      </c>
      <c r="S311" t="str">
        <f t="shared" si="38"/>
        <v>Profit</v>
      </c>
      <c r="T311" t="str">
        <f t="shared" si="39"/>
        <v>Crystal Terrell</v>
      </c>
      <c r="U311" t="str">
        <f t="shared" si="40"/>
        <v>Laptop</v>
      </c>
      <c r="V311">
        <f t="shared" si="41"/>
        <v>2024</v>
      </c>
      <c r="W311">
        <f t="shared" si="42"/>
        <v>12</v>
      </c>
      <c r="X311">
        <f t="shared" si="43"/>
        <v>28</v>
      </c>
      <c r="Y311" t="str">
        <f t="shared" si="44"/>
        <v>Dec</v>
      </c>
      <c r="Z311">
        <f t="shared" si="45"/>
        <v>3</v>
      </c>
    </row>
    <row r="312" spans="1:26" ht="15.75" customHeight="1" x14ac:dyDescent="0.3">
      <c r="A312" s="2" t="s">
        <v>850</v>
      </c>
      <c r="B312" s="2" t="s">
        <v>851</v>
      </c>
      <c r="C312" s="2" t="s">
        <v>42</v>
      </c>
      <c r="D312" s="2" t="s">
        <v>43</v>
      </c>
      <c r="E312" s="2" t="s">
        <v>32</v>
      </c>
      <c r="F312" s="2">
        <v>13</v>
      </c>
      <c r="G312" s="2">
        <v>1680.61</v>
      </c>
      <c r="H312" s="2">
        <v>21847.93</v>
      </c>
      <c r="I312" s="2">
        <v>11944.34</v>
      </c>
      <c r="J312" s="2">
        <v>9903.59</v>
      </c>
      <c r="K312" s="3">
        <v>46004</v>
      </c>
      <c r="L312" s="3">
        <v>46012</v>
      </c>
      <c r="M312" s="2" t="s">
        <v>33</v>
      </c>
      <c r="N312" s="2">
        <v>1</v>
      </c>
      <c r="O312" s="2" t="s">
        <v>223</v>
      </c>
      <c r="P312" s="25">
        <v>8.9</v>
      </c>
      <c r="Q312" t="str">
        <f t="shared" si="37"/>
        <v>0311</v>
      </c>
      <c r="R312" t="str">
        <f>IF('RETAIL SALES DATA.'!H312&gt;AVERAGE('RETAIL SALES DATA.'!H312:H1311),"HIGHEST VALUE","LOWEST VALUE")</f>
        <v>LOWEST VALUE</v>
      </c>
      <c r="S312" t="str">
        <f t="shared" si="38"/>
        <v>Profit</v>
      </c>
      <c r="T312" t="str">
        <f t="shared" si="39"/>
        <v>Jared Martinez</v>
      </c>
      <c r="U312" t="str">
        <f t="shared" si="40"/>
        <v>Laptop</v>
      </c>
      <c r="V312">
        <f t="shared" si="41"/>
        <v>2025</v>
      </c>
      <c r="W312">
        <f t="shared" si="42"/>
        <v>12</v>
      </c>
      <c r="X312">
        <f t="shared" si="43"/>
        <v>13</v>
      </c>
      <c r="Y312" t="str">
        <f t="shared" si="44"/>
        <v>Dec</v>
      </c>
      <c r="Z312">
        <f t="shared" si="45"/>
        <v>8</v>
      </c>
    </row>
    <row r="313" spans="1:26" ht="15.75" customHeight="1" x14ac:dyDescent="0.3">
      <c r="A313" s="2" t="s">
        <v>852</v>
      </c>
      <c r="B313" s="2" t="s">
        <v>853</v>
      </c>
      <c r="C313" s="2" t="s">
        <v>62</v>
      </c>
      <c r="D313" s="2" t="s">
        <v>31</v>
      </c>
      <c r="E313" s="2" t="s">
        <v>25</v>
      </c>
      <c r="F313" s="2">
        <v>14</v>
      </c>
      <c r="G313" s="2">
        <v>3613.16</v>
      </c>
      <c r="H313" s="2">
        <v>50584.24</v>
      </c>
      <c r="I313" s="2">
        <v>45028.79</v>
      </c>
      <c r="J313" s="2">
        <v>5555.45</v>
      </c>
      <c r="K313" s="3">
        <v>45500</v>
      </c>
      <c r="L313" s="3">
        <v>45506</v>
      </c>
      <c r="M313" s="2" t="s">
        <v>69</v>
      </c>
      <c r="N313" s="2">
        <v>4</v>
      </c>
      <c r="O313" s="2" t="s">
        <v>712</v>
      </c>
      <c r="P313" s="25">
        <v>7.1</v>
      </c>
      <c r="Q313" t="str">
        <f t="shared" si="37"/>
        <v>0312</v>
      </c>
      <c r="R313" t="str">
        <f>IF('RETAIL SALES DATA.'!H313&gt;AVERAGE('RETAIL SALES DATA.'!H313:H1312),"HIGHEST VALUE","LOWEST VALUE")</f>
        <v>HIGHEST VALUE</v>
      </c>
      <c r="S313" t="str">
        <f t="shared" si="38"/>
        <v>Profit</v>
      </c>
      <c r="T313" t="str">
        <f t="shared" si="39"/>
        <v>Carol Warren</v>
      </c>
      <c r="U313" t="str">
        <f t="shared" si="40"/>
        <v>Table</v>
      </c>
      <c r="V313">
        <f t="shared" si="41"/>
        <v>2024</v>
      </c>
      <c r="W313">
        <f t="shared" si="42"/>
        <v>8</v>
      </c>
      <c r="X313">
        <f t="shared" si="43"/>
        <v>27</v>
      </c>
      <c r="Y313" t="str">
        <f t="shared" si="44"/>
        <v>Jul</v>
      </c>
      <c r="Z313">
        <f t="shared" si="45"/>
        <v>6</v>
      </c>
    </row>
    <row r="314" spans="1:26" ht="15.75" customHeight="1" x14ac:dyDescent="0.3">
      <c r="A314" s="2" t="s">
        <v>854</v>
      </c>
      <c r="B314" s="2" t="s">
        <v>855</v>
      </c>
      <c r="C314" s="2" t="s">
        <v>57</v>
      </c>
      <c r="D314" s="2" t="s">
        <v>19</v>
      </c>
      <c r="E314" s="2" t="s">
        <v>20</v>
      </c>
      <c r="F314" s="2">
        <v>16</v>
      </c>
      <c r="G314" s="2">
        <v>2889.64</v>
      </c>
      <c r="H314" s="2">
        <v>46234.239999999998</v>
      </c>
      <c r="I314" s="2">
        <v>28399.02</v>
      </c>
      <c r="J314" s="2">
        <v>17835.22</v>
      </c>
      <c r="K314" s="3">
        <v>45732</v>
      </c>
      <c r="L314" s="3">
        <v>45734</v>
      </c>
      <c r="M314" s="2" t="s">
        <v>33</v>
      </c>
      <c r="N314" s="2">
        <v>4</v>
      </c>
      <c r="O314" s="2" t="s">
        <v>818</v>
      </c>
      <c r="P314" s="25">
        <v>9.8000000000000007</v>
      </c>
      <c r="Q314" t="str">
        <f t="shared" si="37"/>
        <v>0313</v>
      </c>
      <c r="R314" t="str">
        <f>IF('RETAIL SALES DATA.'!H314&gt;AVERAGE('RETAIL SALES DATA.'!H314:H1313),"HIGHEST VALUE","LOWEST VALUE")</f>
        <v>HIGHEST VALUE</v>
      </c>
      <c r="S314" t="str">
        <f t="shared" si="38"/>
        <v>Profit</v>
      </c>
      <c r="T314" t="str">
        <f t="shared" si="39"/>
        <v>Chad Perez</v>
      </c>
      <c r="U314" t="str">
        <f t="shared" si="40"/>
        <v>Notebook</v>
      </c>
      <c r="V314">
        <f t="shared" si="41"/>
        <v>2025</v>
      </c>
      <c r="W314">
        <f t="shared" si="42"/>
        <v>3</v>
      </c>
      <c r="X314">
        <f t="shared" si="43"/>
        <v>16</v>
      </c>
      <c r="Y314" t="str">
        <f t="shared" si="44"/>
        <v>Mar</v>
      </c>
      <c r="Z314">
        <f t="shared" si="45"/>
        <v>2</v>
      </c>
    </row>
    <row r="315" spans="1:26" ht="15.75" customHeight="1" x14ac:dyDescent="0.3">
      <c r="A315" s="2" t="s">
        <v>856</v>
      </c>
      <c r="B315" s="2" t="s">
        <v>857</v>
      </c>
      <c r="C315" s="2" t="s">
        <v>168</v>
      </c>
      <c r="D315" s="2" t="s">
        <v>43</v>
      </c>
      <c r="E315" s="2" t="s">
        <v>32</v>
      </c>
      <c r="F315" s="2">
        <v>14</v>
      </c>
      <c r="G315" s="2">
        <v>4138.3599999999997</v>
      </c>
      <c r="H315" s="2">
        <v>57937.04</v>
      </c>
      <c r="I315" s="2">
        <v>31491.040000000001</v>
      </c>
      <c r="J315" s="2">
        <v>26446</v>
      </c>
      <c r="K315" s="3">
        <v>45619</v>
      </c>
      <c r="L315" s="3">
        <v>45626</v>
      </c>
      <c r="M315" s="2" t="s">
        <v>50</v>
      </c>
      <c r="N315" s="2">
        <v>3</v>
      </c>
      <c r="O315" s="2" t="s">
        <v>858</v>
      </c>
      <c r="P315" s="25">
        <v>7.1</v>
      </c>
      <c r="Q315" t="str">
        <f t="shared" si="37"/>
        <v>0314</v>
      </c>
      <c r="R315" t="str">
        <f>IF('RETAIL SALES DATA.'!H315&gt;AVERAGE('RETAIL SALES DATA.'!H315:H1314),"HIGHEST VALUE","LOWEST VALUE")</f>
        <v>HIGHEST VALUE</v>
      </c>
      <c r="S315" t="str">
        <f t="shared" si="38"/>
        <v>Profit</v>
      </c>
      <c r="T315" t="str">
        <f t="shared" si="39"/>
        <v>Audrey Barnes</v>
      </c>
      <c r="U315" t="str">
        <f t="shared" si="40"/>
        <v>Keyboard</v>
      </c>
      <c r="V315">
        <f t="shared" si="41"/>
        <v>2024</v>
      </c>
      <c r="W315">
        <f t="shared" si="42"/>
        <v>11</v>
      </c>
      <c r="X315">
        <f t="shared" si="43"/>
        <v>23</v>
      </c>
      <c r="Y315" t="str">
        <f t="shared" si="44"/>
        <v>Nov</v>
      </c>
      <c r="Z315">
        <f t="shared" si="45"/>
        <v>7</v>
      </c>
    </row>
    <row r="316" spans="1:26" ht="15.75" customHeight="1" x14ac:dyDescent="0.3">
      <c r="A316" s="2" t="s">
        <v>859</v>
      </c>
      <c r="B316" s="2" t="s">
        <v>860</v>
      </c>
      <c r="C316" s="2" t="s">
        <v>195</v>
      </c>
      <c r="D316" s="2" t="s">
        <v>43</v>
      </c>
      <c r="E316" s="2" t="s">
        <v>25</v>
      </c>
      <c r="F316" s="2">
        <v>7</v>
      </c>
      <c r="G316" s="2">
        <v>4120.21</v>
      </c>
      <c r="H316" s="2">
        <v>28841.47</v>
      </c>
      <c r="I316" s="2">
        <v>16208.89</v>
      </c>
      <c r="J316" s="2">
        <v>12632.58</v>
      </c>
      <c r="K316" s="3">
        <v>45514</v>
      </c>
      <c r="L316" s="3">
        <v>45519</v>
      </c>
      <c r="M316" s="2" t="s">
        <v>45</v>
      </c>
      <c r="N316" s="2">
        <v>1</v>
      </c>
      <c r="O316" s="2" t="s">
        <v>663</v>
      </c>
      <c r="P316" s="25">
        <v>6.5</v>
      </c>
      <c r="Q316" t="str">
        <f t="shared" si="37"/>
        <v>0315</v>
      </c>
      <c r="R316" t="str">
        <f>IF('RETAIL SALES DATA.'!H316&gt;AVERAGE('RETAIL SALES DATA.'!H316:H1315),"HIGHEST VALUE","LOWEST VALUE")</f>
        <v>HIGHEST VALUE</v>
      </c>
      <c r="S316" t="str">
        <f t="shared" si="38"/>
        <v>Profit</v>
      </c>
      <c r="T316" t="str">
        <f t="shared" si="39"/>
        <v>Eric Hall Dds</v>
      </c>
      <c r="U316" t="str">
        <f t="shared" si="40"/>
        <v>Monitor</v>
      </c>
      <c r="V316">
        <f t="shared" si="41"/>
        <v>2024</v>
      </c>
      <c r="W316">
        <f t="shared" si="42"/>
        <v>8</v>
      </c>
      <c r="X316">
        <f t="shared" si="43"/>
        <v>10</v>
      </c>
      <c r="Y316" t="str">
        <f t="shared" si="44"/>
        <v>Aug</v>
      </c>
      <c r="Z316">
        <f t="shared" si="45"/>
        <v>5</v>
      </c>
    </row>
    <row r="317" spans="1:26" ht="15.75" customHeight="1" x14ac:dyDescent="0.3">
      <c r="A317" s="2" t="s">
        <v>861</v>
      </c>
      <c r="B317" s="2" t="s">
        <v>862</v>
      </c>
      <c r="C317" s="2" t="s">
        <v>144</v>
      </c>
      <c r="D317" s="2" t="s">
        <v>19</v>
      </c>
      <c r="E317" s="2" t="s">
        <v>32</v>
      </c>
      <c r="F317" s="2">
        <v>7</v>
      </c>
      <c r="G317" s="2">
        <v>2759.52</v>
      </c>
      <c r="H317" s="2">
        <v>19316.64</v>
      </c>
      <c r="I317" s="2">
        <v>16976.25</v>
      </c>
      <c r="J317" s="2">
        <v>2340.39</v>
      </c>
      <c r="K317" s="3">
        <v>45893</v>
      </c>
      <c r="L317" s="3">
        <v>45896</v>
      </c>
      <c r="M317" s="2" t="s">
        <v>33</v>
      </c>
      <c r="N317" s="2">
        <v>2</v>
      </c>
      <c r="O317" s="2" t="s">
        <v>73</v>
      </c>
      <c r="P317" s="25">
        <v>7.6</v>
      </c>
      <c r="Q317" t="str">
        <f t="shared" si="37"/>
        <v>0316</v>
      </c>
      <c r="R317" t="str">
        <f>IF('RETAIL SALES DATA.'!H317&gt;AVERAGE('RETAIL SALES DATA.'!H317:H1316),"HIGHEST VALUE","LOWEST VALUE")</f>
        <v>LOWEST VALUE</v>
      </c>
      <c r="S317" t="str">
        <f t="shared" si="38"/>
        <v>Profit</v>
      </c>
      <c r="T317" t="str">
        <f t="shared" si="39"/>
        <v>Sheena Zhang</v>
      </c>
      <c r="U317" t="str">
        <f t="shared" si="40"/>
        <v>File</v>
      </c>
      <c r="V317">
        <f t="shared" si="41"/>
        <v>2025</v>
      </c>
      <c r="W317">
        <f t="shared" si="42"/>
        <v>8</v>
      </c>
      <c r="X317">
        <f t="shared" si="43"/>
        <v>24</v>
      </c>
      <c r="Y317" t="str">
        <f t="shared" si="44"/>
        <v>Aug</v>
      </c>
      <c r="Z317">
        <f t="shared" si="45"/>
        <v>3</v>
      </c>
    </row>
    <row r="318" spans="1:26" ht="15.75" customHeight="1" x14ac:dyDescent="0.3">
      <c r="A318" s="2" t="s">
        <v>863</v>
      </c>
      <c r="B318" s="2" t="s">
        <v>864</v>
      </c>
      <c r="C318" s="2" t="s">
        <v>57</v>
      </c>
      <c r="D318" s="2" t="s">
        <v>19</v>
      </c>
      <c r="E318" s="2" t="s">
        <v>25</v>
      </c>
      <c r="F318" s="2">
        <v>13</v>
      </c>
      <c r="G318" s="2">
        <v>1004.33</v>
      </c>
      <c r="H318" s="2">
        <v>13056.29</v>
      </c>
      <c r="I318" s="2">
        <v>7200.22</v>
      </c>
      <c r="J318" s="2">
        <v>5856.07</v>
      </c>
      <c r="K318" s="3">
        <v>45627</v>
      </c>
      <c r="L318" s="3">
        <v>45637</v>
      </c>
      <c r="M318" s="2" t="s">
        <v>45</v>
      </c>
      <c r="N318" s="2">
        <v>5</v>
      </c>
      <c r="O318" s="2" t="s">
        <v>273</v>
      </c>
      <c r="P318" s="25">
        <v>9.3000000000000007</v>
      </c>
      <c r="Q318" t="str">
        <f t="shared" si="37"/>
        <v>0317</v>
      </c>
      <c r="R318" t="str">
        <f>IF('RETAIL SALES DATA.'!H318&gt;AVERAGE('RETAIL SALES DATA.'!H318:H1317),"HIGHEST VALUE","LOWEST VALUE")</f>
        <v>LOWEST VALUE</v>
      </c>
      <c r="S318" t="str">
        <f t="shared" si="38"/>
        <v>Profit</v>
      </c>
      <c r="T318" t="str">
        <f t="shared" si="39"/>
        <v>Vanessa Gay</v>
      </c>
      <c r="U318" t="str">
        <f t="shared" si="40"/>
        <v>Notebook</v>
      </c>
      <c r="V318">
        <f t="shared" si="41"/>
        <v>2024</v>
      </c>
      <c r="W318">
        <f t="shared" si="42"/>
        <v>12</v>
      </c>
      <c r="X318">
        <f t="shared" si="43"/>
        <v>1</v>
      </c>
      <c r="Y318" t="str">
        <f t="shared" si="44"/>
        <v>Dec</v>
      </c>
      <c r="Z318">
        <f t="shared" si="45"/>
        <v>10</v>
      </c>
    </row>
    <row r="319" spans="1:26" ht="15.75" customHeight="1" x14ac:dyDescent="0.3">
      <c r="A319" s="2" t="s">
        <v>865</v>
      </c>
      <c r="B319" s="2" t="s">
        <v>866</v>
      </c>
      <c r="C319" s="2" t="s">
        <v>88</v>
      </c>
      <c r="D319" s="2" t="s">
        <v>31</v>
      </c>
      <c r="E319" s="2" t="s">
        <v>44</v>
      </c>
      <c r="F319" s="2">
        <v>3</v>
      </c>
      <c r="G319" s="2">
        <v>4155.03</v>
      </c>
      <c r="H319" s="2">
        <v>12465.09</v>
      </c>
      <c r="I319" s="2">
        <v>9555.18</v>
      </c>
      <c r="J319" s="2">
        <v>2909.91</v>
      </c>
      <c r="K319" s="3">
        <v>45549</v>
      </c>
      <c r="L319" s="3">
        <v>45554</v>
      </c>
      <c r="M319" s="2" t="s">
        <v>181</v>
      </c>
      <c r="N319" s="2">
        <v>2</v>
      </c>
      <c r="O319" s="2" t="s">
        <v>577</v>
      </c>
      <c r="P319" s="25">
        <v>9.6999999999999993</v>
      </c>
      <c r="Q319" t="str">
        <f t="shared" si="37"/>
        <v>0318</v>
      </c>
      <c r="R319" t="str">
        <f>IF('RETAIL SALES DATA.'!H319&gt;AVERAGE('RETAIL SALES DATA.'!H319:H1318),"HIGHEST VALUE","LOWEST VALUE")</f>
        <v>LOWEST VALUE</v>
      </c>
      <c r="S319" t="str">
        <f t="shared" si="38"/>
        <v>Profit</v>
      </c>
      <c r="T319" t="str">
        <f t="shared" si="39"/>
        <v>Joann Mendoza</v>
      </c>
      <c r="U319" t="str">
        <f t="shared" si="40"/>
        <v>Cupboard</v>
      </c>
      <c r="V319">
        <f t="shared" si="41"/>
        <v>2024</v>
      </c>
      <c r="W319">
        <f t="shared" si="42"/>
        <v>9</v>
      </c>
      <c r="X319">
        <f t="shared" si="43"/>
        <v>14</v>
      </c>
      <c r="Y319" t="str">
        <f t="shared" si="44"/>
        <v>Sep</v>
      </c>
      <c r="Z319">
        <f t="shared" si="45"/>
        <v>5</v>
      </c>
    </row>
    <row r="320" spans="1:26" ht="15.75" customHeight="1" x14ac:dyDescent="0.3">
      <c r="A320" s="2" t="s">
        <v>867</v>
      </c>
      <c r="B320" s="2" t="s">
        <v>868</v>
      </c>
      <c r="C320" s="2" t="s">
        <v>95</v>
      </c>
      <c r="D320" s="2" t="s">
        <v>19</v>
      </c>
      <c r="E320" s="2" t="s">
        <v>32</v>
      </c>
      <c r="F320" s="2">
        <v>10</v>
      </c>
      <c r="G320" s="2">
        <v>912.74</v>
      </c>
      <c r="H320" s="2">
        <v>9127.4</v>
      </c>
      <c r="I320" s="2">
        <v>7652.25</v>
      </c>
      <c r="J320" s="2">
        <v>1475.15</v>
      </c>
      <c r="K320" s="3">
        <v>45903</v>
      </c>
      <c r="L320" s="3">
        <v>45904</v>
      </c>
      <c r="M320" s="2" t="s">
        <v>38</v>
      </c>
      <c r="N320" s="2">
        <v>2</v>
      </c>
      <c r="O320" s="2" t="s">
        <v>208</v>
      </c>
      <c r="P320" s="25">
        <v>7.5</v>
      </c>
      <c r="Q320" t="str">
        <f t="shared" si="37"/>
        <v>0319</v>
      </c>
      <c r="R320" t="str">
        <f>IF('RETAIL SALES DATA.'!H320&gt;AVERAGE('RETAIL SALES DATA.'!H320:H1319),"HIGHEST VALUE","LOWEST VALUE")</f>
        <v>LOWEST VALUE</v>
      </c>
      <c r="S320" t="str">
        <f t="shared" si="38"/>
        <v>Profit</v>
      </c>
      <c r="T320" t="str">
        <f t="shared" si="39"/>
        <v>Sheila Fisher</v>
      </c>
      <c r="U320" t="str">
        <f t="shared" si="40"/>
        <v>Printer</v>
      </c>
      <c r="V320">
        <f t="shared" si="41"/>
        <v>2025</v>
      </c>
      <c r="W320">
        <f t="shared" si="42"/>
        <v>9</v>
      </c>
      <c r="X320">
        <f t="shared" si="43"/>
        <v>3</v>
      </c>
      <c r="Y320" t="str">
        <f t="shared" si="44"/>
        <v>Sep</v>
      </c>
      <c r="Z320">
        <f t="shared" si="45"/>
        <v>1</v>
      </c>
    </row>
    <row r="321" spans="1:26" ht="15.75" customHeight="1" x14ac:dyDescent="0.3">
      <c r="A321" s="2" t="s">
        <v>869</v>
      </c>
      <c r="B321" s="2" t="s">
        <v>870</v>
      </c>
      <c r="C321" s="2" t="s">
        <v>144</v>
      </c>
      <c r="D321" s="2" t="s">
        <v>19</v>
      </c>
      <c r="E321" s="2" t="s">
        <v>44</v>
      </c>
      <c r="F321" s="2">
        <v>6</v>
      </c>
      <c r="G321" s="2">
        <v>1442.36</v>
      </c>
      <c r="H321" s="2">
        <v>8654.16</v>
      </c>
      <c r="I321" s="2">
        <v>6770.54</v>
      </c>
      <c r="J321" s="2">
        <v>1883.62</v>
      </c>
      <c r="K321" s="3">
        <v>45680</v>
      </c>
      <c r="L321" s="3">
        <v>45687</v>
      </c>
      <c r="M321" s="2" t="s">
        <v>123</v>
      </c>
      <c r="N321" s="2">
        <v>3</v>
      </c>
      <c r="O321" s="2" t="s">
        <v>802</v>
      </c>
      <c r="P321" s="25">
        <v>8.3000000000000007</v>
      </c>
      <c r="Q321" t="str">
        <f t="shared" si="37"/>
        <v>0320</v>
      </c>
      <c r="R321" t="str">
        <f>IF('RETAIL SALES DATA.'!H321&gt;AVERAGE('RETAIL SALES DATA.'!H321:H1320),"HIGHEST VALUE","LOWEST VALUE")</f>
        <v>LOWEST VALUE</v>
      </c>
      <c r="S321" t="str">
        <f t="shared" si="38"/>
        <v>Profit</v>
      </c>
      <c r="T321" t="str">
        <f t="shared" si="39"/>
        <v>Jason Medina</v>
      </c>
      <c r="U321" t="str">
        <f t="shared" si="40"/>
        <v>File</v>
      </c>
      <c r="V321">
        <f t="shared" si="41"/>
        <v>2025</v>
      </c>
      <c r="W321">
        <f t="shared" si="42"/>
        <v>1</v>
      </c>
      <c r="X321">
        <f t="shared" si="43"/>
        <v>23</v>
      </c>
      <c r="Y321" t="str">
        <f t="shared" si="44"/>
        <v>Jan</v>
      </c>
      <c r="Z321">
        <f t="shared" si="45"/>
        <v>7</v>
      </c>
    </row>
    <row r="322" spans="1:26" ht="15.75" customHeight="1" x14ac:dyDescent="0.3">
      <c r="A322" s="2" t="s">
        <v>871</v>
      </c>
      <c r="B322" s="2" t="s">
        <v>872</v>
      </c>
      <c r="C322" s="2" t="s">
        <v>195</v>
      </c>
      <c r="D322" s="2" t="s">
        <v>43</v>
      </c>
      <c r="E322" s="2" t="s">
        <v>44</v>
      </c>
      <c r="F322" s="2">
        <v>20</v>
      </c>
      <c r="G322" s="2">
        <v>3587.44</v>
      </c>
      <c r="H322" s="2">
        <v>71748.800000000003</v>
      </c>
      <c r="I322" s="2">
        <v>38883.74</v>
      </c>
      <c r="J322" s="2">
        <v>32865.06</v>
      </c>
      <c r="K322" s="3">
        <v>45860</v>
      </c>
      <c r="L322" s="3">
        <v>45861</v>
      </c>
      <c r="M322" s="2" t="s">
        <v>26</v>
      </c>
      <c r="N322" s="2">
        <v>2</v>
      </c>
      <c r="O322" s="2" t="s">
        <v>340</v>
      </c>
      <c r="P322" s="25">
        <v>7</v>
      </c>
      <c r="Q322" t="str">
        <f t="shared" si="37"/>
        <v>0321</v>
      </c>
      <c r="R322" t="str">
        <f>IF('RETAIL SALES DATA.'!H322&gt;AVERAGE('RETAIL SALES DATA.'!H322:H1321),"HIGHEST VALUE","LOWEST VALUE")</f>
        <v>HIGHEST VALUE</v>
      </c>
      <c r="S322" t="str">
        <f t="shared" si="38"/>
        <v>Profit</v>
      </c>
      <c r="T322" t="str">
        <f t="shared" si="39"/>
        <v>Tammy Williams</v>
      </c>
      <c r="U322" t="str">
        <f t="shared" si="40"/>
        <v>Monitor</v>
      </c>
      <c r="V322">
        <f t="shared" si="41"/>
        <v>2025</v>
      </c>
      <c r="W322">
        <f t="shared" si="42"/>
        <v>7</v>
      </c>
      <c r="X322">
        <f t="shared" si="43"/>
        <v>22</v>
      </c>
      <c r="Y322" t="str">
        <f t="shared" si="44"/>
        <v>Jul</v>
      </c>
      <c r="Z322">
        <f t="shared" si="45"/>
        <v>1</v>
      </c>
    </row>
    <row r="323" spans="1:26" ht="15.75" customHeight="1" x14ac:dyDescent="0.3">
      <c r="A323" s="2" t="s">
        <v>873</v>
      </c>
      <c r="B323" s="2" t="s">
        <v>874</v>
      </c>
      <c r="C323" s="2" t="s">
        <v>168</v>
      </c>
      <c r="D323" s="2" t="s">
        <v>43</v>
      </c>
      <c r="E323" s="2" t="s">
        <v>20</v>
      </c>
      <c r="F323" s="2">
        <v>8</v>
      </c>
      <c r="G323" s="2">
        <v>726.17</v>
      </c>
      <c r="H323" s="2">
        <v>5809.36</v>
      </c>
      <c r="I323" s="2">
        <v>4679.8100000000004</v>
      </c>
      <c r="J323" s="2">
        <v>1129.55</v>
      </c>
      <c r="K323" s="3">
        <v>45735</v>
      </c>
      <c r="L323" s="3">
        <v>45741</v>
      </c>
      <c r="M323" s="2" t="s">
        <v>26</v>
      </c>
      <c r="N323" s="2">
        <v>2</v>
      </c>
      <c r="O323" s="2" t="s">
        <v>470</v>
      </c>
      <c r="P323" s="25">
        <v>9</v>
      </c>
      <c r="Q323" t="str">
        <f t="shared" ref="Q323:Q386" si="46">RIGHT(A323,"4")</f>
        <v>0322</v>
      </c>
      <c r="R323" t="str">
        <f>IF('RETAIL SALES DATA.'!H323&gt;AVERAGE('RETAIL SALES DATA.'!H323:H1322),"HIGHEST VALUE","LOWEST VALUE")</f>
        <v>LOWEST VALUE</v>
      </c>
      <c r="S323" t="str">
        <f t="shared" ref="S323:S386" si="47">IF(J323&gt;0,"Profit","Loss")</f>
        <v>Profit</v>
      </c>
      <c r="T323" t="str">
        <f t="shared" ref="T323:T386" si="48">PROPER(B323)</f>
        <v>Alejandra Flores</v>
      </c>
      <c r="U323" t="str">
        <f t="shared" ref="U323:U386" si="49">PROPER(C323)</f>
        <v>Keyboard</v>
      </c>
      <c r="V323">
        <f t="shared" ref="V323:V386" si="50">YEAR(K323)</f>
        <v>2025</v>
      </c>
      <c r="W323">
        <f t="shared" ref="W323:W386" si="51">MONTH(L323)</f>
        <v>3</v>
      </c>
      <c r="X323">
        <f t="shared" ref="X323:X386" si="52">DAY(K323)</f>
        <v>19</v>
      </c>
      <c r="Y323" t="str">
        <f t="shared" ref="Y323:Y386" si="53">TEXT(K323,"MMM")</f>
        <v>Mar</v>
      </c>
      <c r="Z323">
        <f t="shared" ref="Z323:Z386" si="54">L323-K323</f>
        <v>6</v>
      </c>
    </row>
    <row r="324" spans="1:26" ht="15.75" customHeight="1" x14ac:dyDescent="0.3">
      <c r="A324" s="2" t="s">
        <v>875</v>
      </c>
      <c r="B324" s="2" t="s">
        <v>876</v>
      </c>
      <c r="C324" s="2" t="s">
        <v>219</v>
      </c>
      <c r="D324" s="2" t="s">
        <v>43</v>
      </c>
      <c r="E324" s="2" t="s">
        <v>32</v>
      </c>
      <c r="F324" s="2">
        <v>20</v>
      </c>
      <c r="G324" s="2">
        <v>1222.8900000000001</v>
      </c>
      <c r="H324" s="2">
        <v>24457.8</v>
      </c>
      <c r="I324" s="2">
        <v>14527.47</v>
      </c>
      <c r="J324" s="2">
        <v>9930.33</v>
      </c>
      <c r="K324" s="3">
        <v>45845</v>
      </c>
      <c r="L324" s="3">
        <v>45850</v>
      </c>
      <c r="M324" s="2" t="s">
        <v>38</v>
      </c>
      <c r="N324" s="2">
        <v>1</v>
      </c>
      <c r="O324" s="2" t="s">
        <v>386</v>
      </c>
      <c r="P324" s="25">
        <v>7.2</v>
      </c>
      <c r="Q324" t="str">
        <f t="shared" si="46"/>
        <v>0323</v>
      </c>
      <c r="R324" t="str">
        <f>IF('RETAIL SALES DATA.'!H324&gt;AVERAGE('RETAIL SALES DATA.'!H324:H1323),"HIGHEST VALUE","LOWEST VALUE")</f>
        <v>LOWEST VALUE</v>
      </c>
      <c r="S324" t="str">
        <f t="shared" si="47"/>
        <v>Profit</v>
      </c>
      <c r="T324" t="str">
        <f t="shared" si="48"/>
        <v>Sandy Gross</v>
      </c>
      <c r="U324" t="str">
        <f t="shared" si="49"/>
        <v>Smartphone</v>
      </c>
      <c r="V324">
        <f t="shared" si="50"/>
        <v>2025</v>
      </c>
      <c r="W324">
        <f t="shared" si="51"/>
        <v>7</v>
      </c>
      <c r="X324">
        <f t="shared" si="52"/>
        <v>7</v>
      </c>
      <c r="Y324" t="str">
        <f t="shared" si="53"/>
        <v>Jul</v>
      </c>
      <c r="Z324">
        <f t="shared" si="54"/>
        <v>5</v>
      </c>
    </row>
    <row r="325" spans="1:26" ht="15.75" customHeight="1" x14ac:dyDescent="0.3">
      <c r="A325" s="2" t="s">
        <v>877</v>
      </c>
      <c r="B325" s="2" t="s">
        <v>878</v>
      </c>
      <c r="C325" s="2" t="s">
        <v>88</v>
      </c>
      <c r="D325" s="2" t="s">
        <v>31</v>
      </c>
      <c r="E325" s="2" t="s">
        <v>32</v>
      </c>
      <c r="F325" s="2">
        <v>1</v>
      </c>
      <c r="G325" s="2">
        <v>4802.32</v>
      </c>
      <c r="H325" s="2">
        <v>4802.32</v>
      </c>
      <c r="I325" s="2">
        <v>2708.84</v>
      </c>
      <c r="J325" s="2">
        <v>2093.48</v>
      </c>
      <c r="K325" s="3">
        <v>45608</v>
      </c>
      <c r="L325" s="3">
        <v>45616</v>
      </c>
      <c r="M325" s="2" t="s">
        <v>33</v>
      </c>
      <c r="N325" s="2">
        <v>5</v>
      </c>
      <c r="O325" s="2" t="s">
        <v>205</v>
      </c>
      <c r="P325" s="25">
        <v>7</v>
      </c>
      <c r="Q325" t="str">
        <f t="shared" si="46"/>
        <v>0324</v>
      </c>
      <c r="R325" t="str">
        <f>IF('RETAIL SALES DATA.'!H325&gt;AVERAGE('RETAIL SALES DATA.'!H325:H1324),"HIGHEST VALUE","LOWEST VALUE")</f>
        <v>LOWEST VALUE</v>
      </c>
      <c r="S325" t="str">
        <f t="shared" si="47"/>
        <v>Profit</v>
      </c>
      <c r="T325" t="str">
        <f t="shared" si="48"/>
        <v>Johnny Schultz</v>
      </c>
      <c r="U325" t="str">
        <f t="shared" si="49"/>
        <v>Cupboard</v>
      </c>
      <c r="V325">
        <f t="shared" si="50"/>
        <v>2024</v>
      </c>
      <c r="W325">
        <f t="shared" si="51"/>
        <v>11</v>
      </c>
      <c r="X325">
        <f t="shared" si="52"/>
        <v>12</v>
      </c>
      <c r="Y325" t="str">
        <f t="shared" si="53"/>
        <v>Nov</v>
      </c>
      <c r="Z325">
        <f t="shared" si="54"/>
        <v>8</v>
      </c>
    </row>
    <row r="326" spans="1:26" ht="15.75" customHeight="1" x14ac:dyDescent="0.3">
      <c r="A326" s="2" t="s">
        <v>879</v>
      </c>
      <c r="B326" s="2" t="s">
        <v>880</v>
      </c>
      <c r="C326" s="2" t="s">
        <v>18</v>
      </c>
      <c r="D326" s="2" t="s">
        <v>19</v>
      </c>
      <c r="E326" s="2" t="s">
        <v>32</v>
      </c>
      <c r="F326" s="2">
        <v>16</v>
      </c>
      <c r="G326" s="2">
        <v>3901.91</v>
      </c>
      <c r="H326" s="2">
        <v>62430.559999999998</v>
      </c>
      <c r="I326" s="2">
        <v>37493.58</v>
      </c>
      <c r="J326" s="2">
        <v>24936.98</v>
      </c>
      <c r="K326" s="3">
        <v>45822</v>
      </c>
      <c r="L326" s="3">
        <v>45832</v>
      </c>
      <c r="M326" s="2" t="s">
        <v>45</v>
      </c>
      <c r="N326" s="2">
        <v>4</v>
      </c>
      <c r="O326" s="2" t="s">
        <v>881</v>
      </c>
      <c r="P326" s="25">
        <v>9.1999999999999993</v>
      </c>
      <c r="Q326" t="str">
        <f t="shared" si="46"/>
        <v>0325</v>
      </c>
      <c r="R326" t="str">
        <f>IF('RETAIL SALES DATA.'!H326&gt;AVERAGE('RETAIL SALES DATA.'!H326:H1325),"HIGHEST VALUE","LOWEST VALUE")</f>
        <v>HIGHEST VALUE</v>
      </c>
      <c r="S326" t="str">
        <f t="shared" si="47"/>
        <v>Profit</v>
      </c>
      <c r="T326" t="str">
        <f t="shared" si="48"/>
        <v>Stacey Richards</v>
      </c>
      <c r="U326" t="str">
        <f t="shared" si="49"/>
        <v>Pen</v>
      </c>
      <c r="V326">
        <f t="shared" si="50"/>
        <v>2025</v>
      </c>
      <c r="W326">
        <f t="shared" si="51"/>
        <v>6</v>
      </c>
      <c r="X326">
        <f t="shared" si="52"/>
        <v>14</v>
      </c>
      <c r="Y326" t="str">
        <f t="shared" si="53"/>
        <v>Jun</v>
      </c>
      <c r="Z326">
        <f t="shared" si="54"/>
        <v>10</v>
      </c>
    </row>
    <row r="327" spans="1:26" ht="15.75" customHeight="1" x14ac:dyDescent="0.3">
      <c r="A327" s="2" t="s">
        <v>882</v>
      </c>
      <c r="B327" s="2" t="s">
        <v>883</v>
      </c>
      <c r="C327" s="2" t="s">
        <v>219</v>
      </c>
      <c r="D327" s="2" t="s">
        <v>43</v>
      </c>
      <c r="E327" s="2" t="s">
        <v>44</v>
      </c>
      <c r="F327" s="2">
        <v>15</v>
      </c>
      <c r="G327" s="2">
        <v>2742.49</v>
      </c>
      <c r="H327" s="2">
        <v>41137.35</v>
      </c>
      <c r="I327" s="2">
        <v>36756.81</v>
      </c>
      <c r="J327" s="2">
        <v>4380.54</v>
      </c>
      <c r="K327" s="3">
        <v>46090</v>
      </c>
      <c r="L327" s="3">
        <v>46100</v>
      </c>
      <c r="M327" s="2" t="s">
        <v>181</v>
      </c>
      <c r="N327" s="2">
        <v>2</v>
      </c>
      <c r="O327" s="2" t="s">
        <v>512</v>
      </c>
      <c r="P327" s="25">
        <v>9.1999999999999993</v>
      </c>
      <c r="Q327" t="str">
        <f t="shared" si="46"/>
        <v>0326</v>
      </c>
      <c r="R327" t="str">
        <f>IF('RETAIL SALES DATA.'!H327&gt;AVERAGE('RETAIL SALES DATA.'!H327:H1326),"HIGHEST VALUE","LOWEST VALUE")</f>
        <v>HIGHEST VALUE</v>
      </c>
      <c r="S327" t="str">
        <f t="shared" si="47"/>
        <v>Profit</v>
      </c>
      <c r="T327" t="str">
        <f t="shared" si="48"/>
        <v>Sierra Robinson</v>
      </c>
      <c r="U327" t="str">
        <f t="shared" si="49"/>
        <v>Smartphone</v>
      </c>
      <c r="V327">
        <f t="shared" si="50"/>
        <v>2026</v>
      </c>
      <c r="W327">
        <f t="shared" si="51"/>
        <v>3</v>
      </c>
      <c r="X327">
        <f t="shared" si="52"/>
        <v>9</v>
      </c>
      <c r="Y327" t="str">
        <f t="shared" si="53"/>
        <v>Mar</v>
      </c>
      <c r="Z327">
        <f t="shared" si="54"/>
        <v>10</v>
      </c>
    </row>
    <row r="328" spans="1:26" ht="15.75" customHeight="1" x14ac:dyDescent="0.3">
      <c r="A328" s="2" t="s">
        <v>884</v>
      </c>
      <c r="B328" s="2" t="s">
        <v>885</v>
      </c>
      <c r="C328" s="2" t="s">
        <v>95</v>
      </c>
      <c r="D328" s="2" t="s">
        <v>19</v>
      </c>
      <c r="E328" s="2" t="s">
        <v>20</v>
      </c>
      <c r="F328" s="2">
        <v>11</v>
      </c>
      <c r="G328" s="2">
        <v>4849.08</v>
      </c>
      <c r="H328" s="2">
        <v>53339.88</v>
      </c>
      <c r="I328" s="2">
        <v>31722.21</v>
      </c>
      <c r="J328" s="2">
        <v>21617.67</v>
      </c>
      <c r="K328" s="3">
        <v>45842</v>
      </c>
      <c r="L328" s="3">
        <v>45845</v>
      </c>
      <c r="M328" s="2" t="s">
        <v>50</v>
      </c>
      <c r="N328" s="2">
        <v>5</v>
      </c>
      <c r="O328" s="2" t="s">
        <v>223</v>
      </c>
      <c r="P328" s="25">
        <v>8.1999999999999993</v>
      </c>
      <c r="Q328" t="str">
        <f t="shared" si="46"/>
        <v>0327</v>
      </c>
      <c r="R328" t="str">
        <f>IF('RETAIL SALES DATA.'!H328&gt;AVERAGE('RETAIL SALES DATA.'!H328:H1327),"HIGHEST VALUE","LOWEST VALUE")</f>
        <v>HIGHEST VALUE</v>
      </c>
      <c r="S328" t="str">
        <f t="shared" si="47"/>
        <v>Profit</v>
      </c>
      <c r="T328" t="str">
        <f t="shared" si="48"/>
        <v>Mrs. Samantha White</v>
      </c>
      <c r="U328" t="str">
        <f t="shared" si="49"/>
        <v>Printer</v>
      </c>
      <c r="V328">
        <f t="shared" si="50"/>
        <v>2025</v>
      </c>
      <c r="W328">
        <f t="shared" si="51"/>
        <v>7</v>
      </c>
      <c r="X328">
        <f t="shared" si="52"/>
        <v>4</v>
      </c>
      <c r="Y328" t="str">
        <f t="shared" si="53"/>
        <v>Jul</v>
      </c>
      <c r="Z328">
        <f t="shared" si="54"/>
        <v>3</v>
      </c>
    </row>
    <row r="329" spans="1:26" ht="15.75" customHeight="1" x14ac:dyDescent="0.3">
      <c r="A329" s="2" t="s">
        <v>886</v>
      </c>
      <c r="B329" s="2" t="s">
        <v>887</v>
      </c>
      <c r="C329" s="2" t="s">
        <v>49</v>
      </c>
      <c r="D329" s="2" t="s">
        <v>43</v>
      </c>
      <c r="E329" s="2" t="s">
        <v>44</v>
      </c>
      <c r="F329" s="2">
        <v>9</v>
      </c>
      <c r="G329" s="2">
        <v>949.05</v>
      </c>
      <c r="H329" s="2">
        <v>8541.4500000000007</v>
      </c>
      <c r="I329" s="2">
        <v>6173.91</v>
      </c>
      <c r="J329" s="2">
        <v>2367.54</v>
      </c>
      <c r="K329" s="3">
        <v>45505</v>
      </c>
      <c r="L329" s="3">
        <v>45511</v>
      </c>
      <c r="M329" s="2" t="s">
        <v>21</v>
      </c>
      <c r="N329" s="2">
        <v>4</v>
      </c>
      <c r="O329" s="2" t="s">
        <v>888</v>
      </c>
      <c r="P329" s="25">
        <v>8.9</v>
      </c>
      <c r="Q329" t="str">
        <f t="shared" si="46"/>
        <v>0328</v>
      </c>
      <c r="R329" t="str">
        <f>IF('RETAIL SALES DATA.'!H329&gt;AVERAGE('RETAIL SALES DATA.'!H329:H1328),"HIGHEST VALUE","LOWEST VALUE")</f>
        <v>LOWEST VALUE</v>
      </c>
      <c r="S329" t="str">
        <f t="shared" si="47"/>
        <v>Profit</v>
      </c>
      <c r="T329" t="str">
        <f t="shared" si="48"/>
        <v>Kaylee Ortiz</v>
      </c>
      <c r="U329" t="str">
        <f t="shared" si="49"/>
        <v>Mouse</v>
      </c>
      <c r="V329">
        <f t="shared" si="50"/>
        <v>2024</v>
      </c>
      <c r="W329">
        <f t="shared" si="51"/>
        <v>8</v>
      </c>
      <c r="X329">
        <f t="shared" si="52"/>
        <v>1</v>
      </c>
      <c r="Y329" t="str">
        <f t="shared" si="53"/>
        <v>Aug</v>
      </c>
      <c r="Z329">
        <f t="shared" si="54"/>
        <v>6</v>
      </c>
    </row>
    <row r="330" spans="1:26" ht="15.75" customHeight="1" x14ac:dyDescent="0.3">
      <c r="A330" s="2" t="s">
        <v>889</v>
      </c>
      <c r="B330" s="2" t="s">
        <v>890</v>
      </c>
      <c r="C330" s="2" t="s">
        <v>95</v>
      </c>
      <c r="D330" s="2" t="s">
        <v>19</v>
      </c>
      <c r="E330" s="2" t="s">
        <v>32</v>
      </c>
      <c r="F330" s="2">
        <v>12</v>
      </c>
      <c r="G330" s="2">
        <v>565.37</v>
      </c>
      <c r="H330" s="2">
        <v>6784.44</v>
      </c>
      <c r="I330" s="2">
        <v>6047.72</v>
      </c>
      <c r="J330" s="2">
        <v>736.72</v>
      </c>
      <c r="K330" s="3">
        <v>45853</v>
      </c>
      <c r="L330" s="3">
        <v>45859</v>
      </c>
      <c r="M330" s="2" t="s">
        <v>50</v>
      </c>
      <c r="N330" s="2">
        <v>3</v>
      </c>
      <c r="O330" s="2" t="s">
        <v>891</v>
      </c>
      <c r="P330" s="25">
        <v>7.2</v>
      </c>
      <c r="Q330" t="str">
        <f t="shared" si="46"/>
        <v>0329</v>
      </c>
      <c r="R330" t="str">
        <f>IF('RETAIL SALES DATA.'!H330&gt;AVERAGE('RETAIL SALES DATA.'!H330:H1329),"HIGHEST VALUE","LOWEST VALUE")</f>
        <v>LOWEST VALUE</v>
      </c>
      <c r="S330" t="str">
        <f t="shared" si="47"/>
        <v>Profit</v>
      </c>
      <c r="T330" t="str">
        <f t="shared" si="48"/>
        <v>Cory Chaney</v>
      </c>
      <c r="U330" t="str">
        <f t="shared" si="49"/>
        <v>Printer</v>
      </c>
      <c r="V330">
        <f t="shared" si="50"/>
        <v>2025</v>
      </c>
      <c r="W330">
        <f t="shared" si="51"/>
        <v>7</v>
      </c>
      <c r="X330">
        <f t="shared" si="52"/>
        <v>15</v>
      </c>
      <c r="Y330" t="str">
        <f t="shared" si="53"/>
        <v>Jul</v>
      </c>
      <c r="Z330">
        <f t="shared" si="54"/>
        <v>6</v>
      </c>
    </row>
    <row r="331" spans="1:26" ht="15.75" customHeight="1" x14ac:dyDescent="0.3">
      <c r="A331" s="2" t="s">
        <v>892</v>
      </c>
      <c r="B331" s="2" t="s">
        <v>893</v>
      </c>
      <c r="C331" s="2" t="s">
        <v>18</v>
      </c>
      <c r="D331" s="2" t="s">
        <v>19</v>
      </c>
      <c r="E331" s="2" t="s">
        <v>25</v>
      </c>
      <c r="F331" s="2">
        <v>17</v>
      </c>
      <c r="G331" s="2">
        <v>187.67</v>
      </c>
      <c r="H331" s="2">
        <v>3190.39</v>
      </c>
      <c r="I331" s="2">
        <v>2580.7600000000002</v>
      </c>
      <c r="J331" s="2">
        <v>609.63</v>
      </c>
      <c r="K331" s="3">
        <v>45441</v>
      </c>
      <c r="L331" s="3">
        <v>45444</v>
      </c>
      <c r="M331" s="2" t="s">
        <v>21</v>
      </c>
      <c r="N331" s="2">
        <v>5</v>
      </c>
      <c r="O331" s="2" t="s">
        <v>894</v>
      </c>
      <c r="P331" s="25">
        <v>6.6</v>
      </c>
      <c r="Q331" t="str">
        <f t="shared" si="46"/>
        <v>0330</v>
      </c>
      <c r="R331" t="str">
        <f>IF('RETAIL SALES DATA.'!H331&gt;AVERAGE('RETAIL SALES DATA.'!H331:H1330),"HIGHEST VALUE","LOWEST VALUE")</f>
        <v>LOWEST VALUE</v>
      </c>
      <c r="S331" t="str">
        <f t="shared" si="47"/>
        <v>Profit</v>
      </c>
      <c r="T331" t="str">
        <f t="shared" si="48"/>
        <v>Elizabeth Romero</v>
      </c>
      <c r="U331" t="str">
        <f t="shared" si="49"/>
        <v>Pen</v>
      </c>
      <c r="V331">
        <f t="shared" si="50"/>
        <v>2024</v>
      </c>
      <c r="W331">
        <f t="shared" si="51"/>
        <v>6</v>
      </c>
      <c r="X331">
        <f t="shared" si="52"/>
        <v>29</v>
      </c>
      <c r="Y331" t="str">
        <f t="shared" si="53"/>
        <v>May</v>
      </c>
      <c r="Z331">
        <f t="shared" si="54"/>
        <v>3</v>
      </c>
    </row>
    <row r="332" spans="1:26" ht="15.75" customHeight="1" x14ac:dyDescent="0.3">
      <c r="A332" s="2" t="s">
        <v>895</v>
      </c>
      <c r="B332" s="2" t="s">
        <v>896</v>
      </c>
      <c r="C332" s="2" t="s">
        <v>49</v>
      </c>
      <c r="D332" s="2" t="s">
        <v>43</v>
      </c>
      <c r="E332" s="2" t="s">
        <v>32</v>
      </c>
      <c r="F332" s="2">
        <v>2</v>
      </c>
      <c r="G332" s="2">
        <v>210.16</v>
      </c>
      <c r="H332" s="2">
        <v>420.32</v>
      </c>
      <c r="I332" s="2">
        <v>307.68</v>
      </c>
      <c r="J332" s="2">
        <v>112.64</v>
      </c>
      <c r="K332" s="3">
        <v>45446</v>
      </c>
      <c r="L332" s="3">
        <v>45451</v>
      </c>
      <c r="M332" s="2" t="s">
        <v>69</v>
      </c>
      <c r="N332" s="2">
        <v>4</v>
      </c>
      <c r="O332" s="2" t="s">
        <v>165</v>
      </c>
      <c r="P332" s="25">
        <v>9.4</v>
      </c>
      <c r="Q332" t="str">
        <f t="shared" si="46"/>
        <v>0331</v>
      </c>
      <c r="R332" t="str">
        <f>IF('RETAIL SALES DATA.'!H332&gt;AVERAGE('RETAIL SALES DATA.'!H332:H1331),"HIGHEST VALUE","LOWEST VALUE")</f>
        <v>LOWEST VALUE</v>
      </c>
      <c r="S332" t="str">
        <f t="shared" si="47"/>
        <v>Profit</v>
      </c>
      <c r="T332" t="str">
        <f t="shared" si="48"/>
        <v>Kathryn Nicholson</v>
      </c>
      <c r="U332" t="str">
        <f t="shared" si="49"/>
        <v>Mouse</v>
      </c>
      <c r="V332">
        <f t="shared" si="50"/>
        <v>2024</v>
      </c>
      <c r="W332">
        <f t="shared" si="51"/>
        <v>6</v>
      </c>
      <c r="X332">
        <f t="shared" si="52"/>
        <v>3</v>
      </c>
      <c r="Y332" t="str">
        <f t="shared" si="53"/>
        <v>Jun</v>
      </c>
      <c r="Z332">
        <f t="shared" si="54"/>
        <v>5</v>
      </c>
    </row>
    <row r="333" spans="1:26" ht="15.75" customHeight="1" x14ac:dyDescent="0.3">
      <c r="A333" s="2" t="s">
        <v>897</v>
      </c>
      <c r="B333" s="2" t="s">
        <v>898</v>
      </c>
      <c r="C333" s="2" t="s">
        <v>57</v>
      </c>
      <c r="D333" s="2" t="s">
        <v>19</v>
      </c>
      <c r="E333" s="2" t="s">
        <v>44</v>
      </c>
      <c r="F333" s="2">
        <v>5</v>
      </c>
      <c r="G333" s="2">
        <v>2660.91</v>
      </c>
      <c r="H333" s="2">
        <v>13304.55</v>
      </c>
      <c r="I333" s="2">
        <v>11470.52</v>
      </c>
      <c r="J333" s="2">
        <v>1834.03</v>
      </c>
      <c r="K333" s="3">
        <v>45996</v>
      </c>
      <c r="L333" s="3">
        <v>46005</v>
      </c>
      <c r="M333" s="2" t="s">
        <v>21</v>
      </c>
      <c r="N333" s="2">
        <v>1</v>
      </c>
      <c r="O333" s="2" t="s">
        <v>899</v>
      </c>
      <c r="P333" s="25">
        <v>9.6</v>
      </c>
      <c r="Q333" t="str">
        <f t="shared" si="46"/>
        <v>0332</v>
      </c>
      <c r="R333" t="str">
        <f>IF('RETAIL SALES DATA.'!H333&gt;AVERAGE('RETAIL SALES DATA.'!H333:H1332),"HIGHEST VALUE","LOWEST VALUE")</f>
        <v>LOWEST VALUE</v>
      </c>
      <c r="S333" t="str">
        <f t="shared" si="47"/>
        <v>Profit</v>
      </c>
      <c r="T333" t="str">
        <f t="shared" si="48"/>
        <v>Daniel Roberts</v>
      </c>
      <c r="U333" t="str">
        <f t="shared" si="49"/>
        <v>Notebook</v>
      </c>
      <c r="V333">
        <f t="shared" si="50"/>
        <v>2025</v>
      </c>
      <c r="W333">
        <f t="shared" si="51"/>
        <v>12</v>
      </c>
      <c r="X333">
        <f t="shared" si="52"/>
        <v>5</v>
      </c>
      <c r="Y333" t="str">
        <f t="shared" si="53"/>
        <v>Dec</v>
      </c>
      <c r="Z333">
        <f t="shared" si="54"/>
        <v>9</v>
      </c>
    </row>
    <row r="334" spans="1:26" ht="15.75" customHeight="1" x14ac:dyDescent="0.3">
      <c r="A334" s="2" t="s">
        <v>900</v>
      </c>
      <c r="B334" s="2" t="s">
        <v>901</v>
      </c>
      <c r="C334" s="2" t="s">
        <v>144</v>
      </c>
      <c r="D334" s="2" t="s">
        <v>19</v>
      </c>
      <c r="E334" s="2" t="s">
        <v>25</v>
      </c>
      <c r="F334" s="2">
        <v>5</v>
      </c>
      <c r="G334" s="2">
        <v>3055.05</v>
      </c>
      <c r="H334" s="2">
        <v>15275.25</v>
      </c>
      <c r="I334" s="2">
        <v>8567.7900000000009</v>
      </c>
      <c r="J334" s="2">
        <v>6707.46</v>
      </c>
      <c r="K334" s="3">
        <v>46080</v>
      </c>
      <c r="L334" s="3">
        <v>46089</v>
      </c>
      <c r="M334" s="2" t="s">
        <v>50</v>
      </c>
      <c r="N334" s="2">
        <v>3</v>
      </c>
      <c r="O334" s="2" t="s">
        <v>560</v>
      </c>
      <c r="P334" s="25">
        <v>9.5</v>
      </c>
      <c r="Q334" t="str">
        <f t="shared" si="46"/>
        <v>0333</v>
      </c>
      <c r="R334" t="str">
        <f>IF('RETAIL SALES DATA.'!H334&gt;AVERAGE('RETAIL SALES DATA.'!H334:H1333),"HIGHEST VALUE","LOWEST VALUE")</f>
        <v>LOWEST VALUE</v>
      </c>
      <c r="S334" t="str">
        <f t="shared" si="47"/>
        <v>Profit</v>
      </c>
      <c r="T334" t="str">
        <f t="shared" si="48"/>
        <v>Kevin Long</v>
      </c>
      <c r="U334" t="str">
        <f t="shared" si="49"/>
        <v>File</v>
      </c>
      <c r="V334">
        <f t="shared" si="50"/>
        <v>2026</v>
      </c>
      <c r="W334">
        <f t="shared" si="51"/>
        <v>3</v>
      </c>
      <c r="X334">
        <f t="shared" si="52"/>
        <v>27</v>
      </c>
      <c r="Y334" t="str">
        <f t="shared" si="53"/>
        <v>Feb</v>
      </c>
      <c r="Z334">
        <f t="shared" si="54"/>
        <v>9</v>
      </c>
    </row>
    <row r="335" spans="1:26" ht="15.75" customHeight="1" x14ac:dyDescent="0.3">
      <c r="A335" s="2" t="s">
        <v>902</v>
      </c>
      <c r="B335" s="2" t="s">
        <v>903</v>
      </c>
      <c r="C335" s="2" t="s">
        <v>195</v>
      </c>
      <c r="D335" s="2" t="s">
        <v>43</v>
      </c>
      <c r="E335" s="2" t="s">
        <v>32</v>
      </c>
      <c r="F335" s="2">
        <v>14</v>
      </c>
      <c r="G335" s="2">
        <v>4968.41</v>
      </c>
      <c r="H335" s="2">
        <v>69557.740000000005</v>
      </c>
      <c r="I335" s="2">
        <v>42222.09</v>
      </c>
      <c r="J335" s="2">
        <v>27335.65</v>
      </c>
      <c r="K335" s="3">
        <v>46071</v>
      </c>
      <c r="L335" s="3">
        <v>46076</v>
      </c>
      <c r="M335" s="2" t="s">
        <v>21</v>
      </c>
      <c r="N335" s="2">
        <v>1</v>
      </c>
      <c r="O335" s="2" t="s">
        <v>904</v>
      </c>
      <c r="P335" s="25">
        <v>8</v>
      </c>
      <c r="Q335" t="str">
        <f t="shared" si="46"/>
        <v>0334</v>
      </c>
      <c r="R335" t="str">
        <f>IF('RETAIL SALES DATA.'!H335&gt;AVERAGE('RETAIL SALES DATA.'!H335:H1334),"HIGHEST VALUE","LOWEST VALUE")</f>
        <v>HIGHEST VALUE</v>
      </c>
      <c r="S335" t="str">
        <f t="shared" si="47"/>
        <v>Profit</v>
      </c>
      <c r="T335" t="str">
        <f t="shared" si="48"/>
        <v>Jessica Watkins</v>
      </c>
      <c r="U335" t="str">
        <f t="shared" si="49"/>
        <v>Monitor</v>
      </c>
      <c r="V335">
        <f t="shared" si="50"/>
        <v>2026</v>
      </c>
      <c r="W335">
        <f t="shared" si="51"/>
        <v>2</v>
      </c>
      <c r="X335">
        <f t="shared" si="52"/>
        <v>18</v>
      </c>
      <c r="Y335" t="str">
        <f t="shared" si="53"/>
        <v>Feb</v>
      </c>
      <c r="Z335">
        <f t="shared" si="54"/>
        <v>5</v>
      </c>
    </row>
    <row r="336" spans="1:26" ht="15.75" customHeight="1" x14ac:dyDescent="0.3">
      <c r="A336" s="2" t="s">
        <v>905</v>
      </c>
      <c r="B336" s="2" t="s">
        <v>906</v>
      </c>
      <c r="C336" s="2" t="s">
        <v>18</v>
      </c>
      <c r="D336" s="2" t="s">
        <v>19</v>
      </c>
      <c r="E336" s="2" t="s">
        <v>32</v>
      </c>
      <c r="F336" s="2">
        <v>5</v>
      </c>
      <c r="G336" s="2">
        <v>4274.4799999999996</v>
      </c>
      <c r="H336" s="2">
        <v>21372.400000000001</v>
      </c>
      <c r="I336" s="2">
        <v>19160.87</v>
      </c>
      <c r="J336" s="2">
        <v>2211.5300000000002</v>
      </c>
      <c r="K336" s="3">
        <v>45744</v>
      </c>
      <c r="L336" s="3">
        <v>45745</v>
      </c>
      <c r="M336" s="2" t="s">
        <v>45</v>
      </c>
      <c r="N336" s="2">
        <v>5</v>
      </c>
      <c r="O336" s="2" t="s">
        <v>907</v>
      </c>
      <c r="P336" s="25">
        <v>7.2</v>
      </c>
      <c r="Q336" t="str">
        <f t="shared" si="46"/>
        <v>0335</v>
      </c>
      <c r="R336" t="str">
        <f>IF('RETAIL SALES DATA.'!H336&gt;AVERAGE('RETAIL SALES DATA.'!H336:H1335),"HIGHEST VALUE","LOWEST VALUE")</f>
        <v>LOWEST VALUE</v>
      </c>
      <c r="S336" t="str">
        <f t="shared" si="47"/>
        <v>Profit</v>
      </c>
      <c r="T336" t="str">
        <f t="shared" si="48"/>
        <v>Amanda Rodgers</v>
      </c>
      <c r="U336" t="str">
        <f t="shared" si="49"/>
        <v>Pen</v>
      </c>
      <c r="V336">
        <f t="shared" si="50"/>
        <v>2025</v>
      </c>
      <c r="W336">
        <f t="shared" si="51"/>
        <v>3</v>
      </c>
      <c r="X336">
        <f t="shared" si="52"/>
        <v>28</v>
      </c>
      <c r="Y336" t="str">
        <f t="shared" si="53"/>
        <v>Mar</v>
      </c>
      <c r="Z336">
        <f t="shared" si="54"/>
        <v>1</v>
      </c>
    </row>
    <row r="337" spans="1:26" ht="15.75" customHeight="1" x14ac:dyDescent="0.3">
      <c r="A337" s="2" t="s">
        <v>908</v>
      </c>
      <c r="B337" s="2" t="s">
        <v>909</v>
      </c>
      <c r="C337" s="2" t="s">
        <v>72</v>
      </c>
      <c r="D337" s="2" t="s">
        <v>31</v>
      </c>
      <c r="E337" s="2" t="s">
        <v>32</v>
      </c>
      <c r="F337" s="2">
        <v>17</v>
      </c>
      <c r="G337" s="2">
        <v>3055.75</v>
      </c>
      <c r="H337" s="2">
        <v>51947.75</v>
      </c>
      <c r="I337" s="2">
        <v>36923.81</v>
      </c>
      <c r="J337" s="2">
        <v>15023.94</v>
      </c>
      <c r="K337" s="3">
        <v>45658</v>
      </c>
      <c r="L337" s="3">
        <v>45661</v>
      </c>
      <c r="M337" s="2" t="s">
        <v>21</v>
      </c>
      <c r="N337" s="2">
        <v>1</v>
      </c>
      <c r="O337" s="2" t="s">
        <v>399</v>
      </c>
      <c r="P337" s="25">
        <v>9.1999999999999993</v>
      </c>
      <c r="Q337" t="str">
        <f t="shared" si="46"/>
        <v>0336</v>
      </c>
      <c r="R337" t="str">
        <f>IF('RETAIL SALES DATA.'!H337&gt;AVERAGE('RETAIL SALES DATA.'!H337:H1336),"HIGHEST VALUE","LOWEST VALUE")</f>
        <v>HIGHEST VALUE</v>
      </c>
      <c r="S337" t="str">
        <f t="shared" si="47"/>
        <v>Profit</v>
      </c>
      <c r="T337" t="str">
        <f t="shared" si="48"/>
        <v>Michael Carter</v>
      </c>
      <c r="U337" t="str">
        <f t="shared" si="49"/>
        <v>Chair</v>
      </c>
      <c r="V337">
        <f t="shared" si="50"/>
        <v>2025</v>
      </c>
      <c r="W337">
        <f t="shared" si="51"/>
        <v>1</v>
      </c>
      <c r="X337">
        <f t="shared" si="52"/>
        <v>1</v>
      </c>
      <c r="Y337" t="str">
        <f t="shared" si="53"/>
        <v>Jan</v>
      </c>
      <c r="Z337">
        <f t="shared" si="54"/>
        <v>3</v>
      </c>
    </row>
    <row r="338" spans="1:26" ht="15.75" customHeight="1" x14ac:dyDescent="0.3">
      <c r="A338" s="2" t="s">
        <v>910</v>
      </c>
      <c r="B338" s="2" t="s">
        <v>911</v>
      </c>
      <c r="C338" s="2" t="s">
        <v>62</v>
      </c>
      <c r="D338" s="2" t="s">
        <v>31</v>
      </c>
      <c r="E338" s="2" t="s">
        <v>20</v>
      </c>
      <c r="F338" s="2">
        <v>5</v>
      </c>
      <c r="G338" s="2">
        <v>2240.1999999999998</v>
      </c>
      <c r="H338" s="2">
        <v>11201</v>
      </c>
      <c r="I338" s="2">
        <v>7061</v>
      </c>
      <c r="J338" s="2">
        <v>4140</v>
      </c>
      <c r="K338" s="3">
        <v>45528</v>
      </c>
      <c r="L338" s="3">
        <v>45537</v>
      </c>
      <c r="M338" s="2" t="s">
        <v>123</v>
      </c>
      <c r="N338" s="2">
        <v>2</v>
      </c>
      <c r="O338" s="2" t="s">
        <v>359</v>
      </c>
      <c r="P338" s="25">
        <v>7.8</v>
      </c>
      <c r="Q338" t="str">
        <f t="shared" si="46"/>
        <v>0337</v>
      </c>
      <c r="R338" t="str">
        <f>IF('RETAIL SALES DATA.'!H338&gt;AVERAGE('RETAIL SALES DATA.'!H338:H1337),"HIGHEST VALUE","LOWEST VALUE")</f>
        <v>LOWEST VALUE</v>
      </c>
      <c r="S338" t="str">
        <f t="shared" si="47"/>
        <v>Profit</v>
      </c>
      <c r="T338" t="str">
        <f t="shared" si="48"/>
        <v>Emily Thomas</v>
      </c>
      <c r="U338" t="str">
        <f t="shared" si="49"/>
        <v>Table</v>
      </c>
      <c r="V338">
        <f t="shared" si="50"/>
        <v>2024</v>
      </c>
      <c r="W338">
        <f t="shared" si="51"/>
        <v>9</v>
      </c>
      <c r="X338">
        <f t="shared" si="52"/>
        <v>24</v>
      </c>
      <c r="Y338" t="str">
        <f t="shared" si="53"/>
        <v>Aug</v>
      </c>
      <c r="Z338">
        <f t="shared" si="54"/>
        <v>9</v>
      </c>
    </row>
    <row r="339" spans="1:26" ht="15.75" customHeight="1" x14ac:dyDescent="0.3">
      <c r="A339" s="2" t="s">
        <v>912</v>
      </c>
      <c r="B339" s="2" t="s">
        <v>913</v>
      </c>
      <c r="C339" s="2" t="s">
        <v>144</v>
      </c>
      <c r="D339" s="2" t="s">
        <v>19</v>
      </c>
      <c r="E339" s="2" t="s">
        <v>20</v>
      </c>
      <c r="F339" s="2">
        <v>16</v>
      </c>
      <c r="G339" s="2">
        <v>135.63999999999999</v>
      </c>
      <c r="H339" s="2">
        <v>2170.2399999999998</v>
      </c>
      <c r="I339" s="2">
        <v>1525.1</v>
      </c>
      <c r="J339" s="2">
        <v>645.14</v>
      </c>
      <c r="K339" s="3">
        <v>45803</v>
      </c>
      <c r="L339" s="3">
        <v>45804</v>
      </c>
      <c r="M339" s="2" t="s">
        <v>50</v>
      </c>
      <c r="N339" s="2">
        <v>4</v>
      </c>
      <c r="O339" s="2" t="s">
        <v>187</v>
      </c>
      <c r="P339" s="25">
        <v>7</v>
      </c>
      <c r="Q339" t="str">
        <f t="shared" si="46"/>
        <v>0338</v>
      </c>
      <c r="R339" t="str">
        <f>IF('RETAIL SALES DATA.'!H339&gt;AVERAGE('RETAIL SALES DATA.'!H339:H1338),"HIGHEST VALUE","LOWEST VALUE")</f>
        <v>LOWEST VALUE</v>
      </c>
      <c r="S339" t="str">
        <f t="shared" si="47"/>
        <v>Profit</v>
      </c>
      <c r="T339" t="str">
        <f t="shared" si="48"/>
        <v>Tami Walker</v>
      </c>
      <c r="U339" t="str">
        <f t="shared" si="49"/>
        <v>File</v>
      </c>
      <c r="V339">
        <f t="shared" si="50"/>
        <v>2025</v>
      </c>
      <c r="W339">
        <f t="shared" si="51"/>
        <v>5</v>
      </c>
      <c r="X339">
        <f t="shared" si="52"/>
        <v>26</v>
      </c>
      <c r="Y339" t="str">
        <f t="shared" si="53"/>
        <v>May</v>
      </c>
      <c r="Z339">
        <f t="shared" si="54"/>
        <v>1</v>
      </c>
    </row>
    <row r="340" spans="1:26" ht="15.75" customHeight="1" x14ac:dyDescent="0.3">
      <c r="A340" s="2" t="s">
        <v>914</v>
      </c>
      <c r="B340" s="2" t="s">
        <v>915</v>
      </c>
      <c r="C340" s="2" t="s">
        <v>219</v>
      </c>
      <c r="D340" s="2" t="s">
        <v>43</v>
      </c>
      <c r="E340" s="2" t="s">
        <v>20</v>
      </c>
      <c r="F340" s="2">
        <v>16</v>
      </c>
      <c r="G340" s="2">
        <v>678.4</v>
      </c>
      <c r="H340" s="2">
        <v>10854.4</v>
      </c>
      <c r="I340" s="2">
        <v>8485.89</v>
      </c>
      <c r="J340" s="2">
        <v>2368.5100000000002</v>
      </c>
      <c r="K340" s="3">
        <v>45707</v>
      </c>
      <c r="L340" s="3">
        <v>45715</v>
      </c>
      <c r="M340" s="2" t="s">
        <v>50</v>
      </c>
      <c r="N340" s="2">
        <v>1</v>
      </c>
      <c r="O340" s="2" t="s">
        <v>741</v>
      </c>
      <c r="P340" s="25">
        <v>6.7</v>
      </c>
      <c r="Q340" t="str">
        <f t="shared" si="46"/>
        <v>0339</v>
      </c>
      <c r="R340" t="str">
        <f>IF('RETAIL SALES DATA.'!H340&gt;AVERAGE('RETAIL SALES DATA.'!H340:H1339),"HIGHEST VALUE","LOWEST VALUE")</f>
        <v>LOWEST VALUE</v>
      </c>
      <c r="S340" t="str">
        <f t="shared" si="47"/>
        <v>Profit</v>
      </c>
      <c r="T340" t="str">
        <f t="shared" si="48"/>
        <v>Margaret Johnson</v>
      </c>
      <c r="U340" t="str">
        <f t="shared" si="49"/>
        <v>Smartphone</v>
      </c>
      <c r="V340">
        <f t="shared" si="50"/>
        <v>2025</v>
      </c>
      <c r="W340">
        <f t="shared" si="51"/>
        <v>2</v>
      </c>
      <c r="X340">
        <f t="shared" si="52"/>
        <v>19</v>
      </c>
      <c r="Y340" t="str">
        <f t="shared" si="53"/>
        <v>Feb</v>
      </c>
      <c r="Z340">
        <f t="shared" si="54"/>
        <v>8</v>
      </c>
    </row>
    <row r="341" spans="1:26" ht="15.75" customHeight="1" x14ac:dyDescent="0.3">
      <c r="A341" s="2" t="s">
        <v>916</v>
      </c>
      <c r="B341" s="2" t="s">
        <v>917</v>
      </c>
      <c r="C341" s="2" t="s">
        <v>49</v>
      </c>
      <c r="D341" s="2" t="s">
        <v>43</v>
      </c>
      <c r="E341" s="2" t="s">
        <v>25</v>
      </c>
      <c r="F341" s="2">
        <v>20</v>
      </c>
      <c r="G341" s="2">
        <v>270.77</v>
      </c>
      <c r="H341" s="2">
        <v>5415.4</v>
      </c>
      <c r="I341" s="2">
        <v>3095.18</v>
      </c>
      <c r="J341" s="2">
        <v>2320.2199999999998</v>
      </c>
      <c r="K341" s="3">
        <v>46152</v>
      </c>
      <c r="L341" s="3">
        <v>46162</v>
      </c>
      <c r="M341" s="2" t="s">
        <v>26</v>
      </c>
      <c r="N341" s="2">
        <v>3</v>
      </c>
      <c r="O341" s="2" t="s">
        <v>918</v>
      </c>
      <c r="P341" s="25">
        <v>6.7</v>
      </c>
      <c r="Q341" t="str">
        <f t="shared" si="46"/>
        <v>0340</v>
      </c>
      <c r="R341" t="str">
        <f>IF('RETAIL SALES DATA.'!H341&gt;AVERAGE('RETAIL SALES DATA.'!H341:H1340),"HIGHEST VALUE","LOWEST VALUE")</f>
        <v>LOWEST VALUE</v>
      </c>
      <c r="S341" t="str">
        <f t="shared" si="47"/>
        <v>Profit</v>
      </c>
      <c r="T341" t="str">
        <f t="shared" si="48"/>
        <v>Andrew Roberts</v>
      </c>
      <c r="U341" t="str">
        <f t="shared" si="49"/>
        <v>Mouse</v>
      </c>
      <c r="V341">
        <f t="shared" si="50"/>
        <v>2026</v>
      </c>
      <c r="W341">
        <f t="shared" si="51"/>
        <v>5</v>
      </c>
      <c r="X341">
        <f t="shared" si="52"/>
        <v>10</v>
      </c>
      <c r="Y341" t="str">
        <f t="shared" si="53"/>
        <v>May</v>
      </c>
      <c r="Z341">
        <f t="shared" si="54"/>
        <v>10</v>
      </c>
    </row>
    <row r="342" spans="1:26" ht="15.75" customHeight="1" x14ac:dyDescent="0.3">
      <c r="A342" s="2" t="s">
        <v>919</v>
      </c>
      <c r="B342" s="2" t="s">
        <v>920</v>
      </c>
      <c r="C342" s="2" t="s">
        <v>49</v>
      </c>
      <c r="D342" s="2" t="s">
        <v>43</v>
      </c>
      <c r="E342" s="2" t="s">
        <v>44</v>
      </c>
      <c r="F342" s="2">
        <v>6</v>
      </c>
      <c r="G342" s="2">
        <v>245.44</v>
      </c>
      <c r="H342" s="2">
        <v>1472.64</v>
      </c>
      <c r="I342" s="2">
        <v>1191.0999999999999</v>
      </c>
      <c r="J342" s="2">
        <v>281.54000000000002</v>
      </c>
      <c r="K342" s="3">
        <v>45958</v>
      </c>
      <c r="L342" s="3">
        <v>45961</v>
      </c>
      <c r="M342" s="2" t="s">
        <v>69</v>
      </c>
      <c r="N342" s="2">
        <v>5</v>
      </c>
      <c r="O342" s="2" t="s">
        <v>645</v>
      </c>
      <c r="P342" s="25">
        <v>8.6999999999999993</v>
      </c>
      <c r="Q342" t="str">
        <f t="shared" si="46"/>
        <v>0341</v>
      </c>
      <c r="R342" t="str">
        <f>IF('RETAIL SALES DATA.'!H342&gt;AVERAGE('RETAIL SALES DATA.'!H342:H1341),"HIGHEST VALUE","LOWEST VALUE")</f>
        <v>LOWEST VALUE</v>
      </c>
      <c r="S342" t="str">
        <f t="shared" si="47"/>
        <v>Profit</v>
      </c>
      <c r="T342" t="str">
        <f t="shared" si="48"/>
        <v>Sandra Williamson</v>
      </c>
      <c r="U342" t="str">
        <f t="shared" si="49"/>
        <v>Mouse</v>
      </c>
      <c r="V342">
        <f t="shared" si="50"/>
        <v>2025</v>
      </c>
      <c r="W342">
        <f t="shared" si="51"/>
        <v>10</v>
      </c>
      <c r="X342">
        <f t="shared" si="52"/>
        <v>28</v>
      </c>
      <c r="Y342" t="str">
        <f t="shared" si="53"/>
        <v>Oct</v>
      </c>
      <c r="Z342">
        <f t="shared" si="54"/>
        <v>3</v>
      </c>
    </row>
    <row r="343" spans="1:26" ht="15.75" customHeight="1" x14ac:dyDescent="0.3">
      <c r="A343" s="2" t="s">
        <v>921</v>
      </c>
      <c r="B343" s="2" t="s">
        <v>922</v>
      </c>
      <c r="C343" s="2" t="s">
        <v>219</v>
      </c>
      <c r="D343" s="2" t="s">
        <v>43</v>
      </c>
      <c r="E343" s="2" t="s">
        <v>25</v>
      </c>
      <c r="F343" s="2">
        <v>6</v>
      </c>
      <c r="G343" s="2">
        <v>2692.81</v>
      </c>
      <c r="H343" s="2">
        <v>16156.86</v>
      </c>
      <c r="I343" s="2">
        <v>10390.35</v>
      </c>
      <c r="J343" s="2">
        <v>5766.51</v>
      </c>
      <c r="K343" s="3">
        <v>45767</v>
      </c>
      <c r="L343" s="3">
        <v>45769</v>
      </c>
      <c r="M343" s="2" t="s">
        <v>38</v>
      </c>
      <c r="N343" s="2">
        <v>4</v>
      </c>
      <c r="O343" s="2" t="s">
        <v>923</v>
      </c>
      <c r="P343" s="25">
        <v>8.8000000000000007</v>
      </c>
      <c r="Q343" t="str">
        <f t="shared" si="46"/>
        <v>0342</v>
      </c>
      <c r="R343" t="str">
        <f>IF('RETAIL SALES DATA.'!H343&gt;AVERAGE('RETAIL SALES DATA.'!H343:H1342),"HIGHEST VALUE","LOWEST VALUE")</f>
        <v>LOWEST VALUE</v>
      </c>
      <c r="S343" t="str">
        <f t="shared" si="47"/>
        <v>Profit</v>
      </c>
      <c r="T343" t="str">
        <f t="shared" si="48"/>
        <v>Angela Cooper</v>
      </c>
      <c r="U343" t="str">
        <f t="shared" si="49"/>
        <v>Smartphone</v>
      </c>
      <c r="V343">
        <f t="shared" si="50"/>
        <v>2025</v>
      </c>
      <c r="W343">
        <f t="shared" si="51"/>
        <v>4</v>
      </c>
      <c r="X343">
        <f t="shared" si="52"/>
        <v>20</v>
      </c>
      <c r="Y343" t="str">
        <f t="shared" si="53"/>
        <v>Apr</v>
      </c>
      <c r="Z343">
        <f t="shared" si="54"/>
        <v>2</v>
      </c>
    </row>
    <row r="344" spans="1:26" ht="15.75" customHeight="1" x14ac:dyDescent="0.3">
      <c r="A344" s="2" t="s">
        <v>924</v>
      </c>
      <c r="B344" s="2" t="s">
        <v>925</v>
      </c>
      <c r="C344" s="2" t="s">
        <v>88</v>
      </c>
      <c r="D344" s="2" t="s">
        <v>31</v>
      </c>
      <c r="E344" s="2" t="s">
        <v>44</v>
      </c>
      <c r="F344" s="2">
        <v>8</v>
      </c>
      <c r="G344" s="2">
        <v>444.11</v>
      </c>
      <c r="H344" s="2">
        <v>3552.88</v>
      </c>
      <c r="I344" s="2">
        <v>3138.9</v>
      </c>
      <c r="J344" s="2">
        <v>413.98</v>
      </c>
      <c r="K344" s="3">
        <v>45858</v>
      </c>
      <c r="L344" s="3">
        <v>45867</v>
      </c>
      <c r="M344" s="2" t="s">
        <v>45</v>
      </c>
      <c r="N344" s="2">
        <v>2</v>
      </c>
      <c r="O344" s="2" t="s">
        <v>417</v>
      </c>
      <c r="P344" s="25">
        <v>7.3</v>
      </c>
      <c r="Q344" t="str">
        <f t="shared" si="46"/>
        <v>0343</v>
      </c>
      <c r="R344" t="str">
        <f>IF('RETAIL SALES DATA.'!H344&gt;AVERAGE('RETAIL SALES DATA.'!H344:H1343),"HIGHEST VALUE","LOWEST VALUE")</f>
        <v>LOWEST VALUE</v>
      </c>
      <c r="S344" t="str">
        <f t="shared" si="47"/>
        <v>Profit</v>
      </c>
      <c r="T344" t="str">
        <f t="shared" si="48"/>
        <v>Brian Roy</v>
      </c>
      <c r="U344" t="str">
        <f t="shared" si="49"/>
        <v>Cupboard</v>
      </c>
      <c r="V344">
        <f t="shared" si="50"/>
        <v>2025</v>
      </c>
      <c r="W344">
        <f t="shared" si="51"/>
        <v>7</v>
      </c>
      <c r="X344">
        <f t="shared" si="52"/>
        <v>20</v>
      </c>
      <c r="Y344" t="str">
        <f t="shared" si="53"/>
        <v>Jul</v>
      </c>
      <c r="Z344">
        <f t="shared" si="54"/>
        <v>9</v>
      </c>
    </row>
    <row r="345" spans="1:26" ht="15.75" customHeight="1" x14ac:dyDescent="0.3">
      <c r="A345" s="2" t="s">
        <v>926</v>
      </c>
      <c r="B345" s="2" t="s">
        <v>927</v>
      </c>
      <c r="C345" s="2" t="s">
        <v>49</v>
      </c>
      <c r="D345" s="2" t="s">
        <v>43</v>
      </c>
      <c r="E345" s="2" t="s">
        <v>25</v>
      </c>
      <c r="F345" s="2">
        <v>9</v>
      </c>
      <c r="G345" s="2">
        <v>2463.6999999999998</v>
      </c>
      <c r="H345" s="2">
        <v>22173.3</v>
      </c>
      <c r="I345" s="2">
        <v>15687.19</v>
      </c>
      <c r="J345" s="2">
        <v>6486.11</v>
      </c>
      <c r="K345" s="3">
        <v>45645</v>
      </c>
      <c r="L345" s="3">
        <v>45652</v>
      </c>
      <c r="M345" s="2" t="s">
        <v>33</v>
      </c>
      <c r="N345" s="2">
        <v>3</v>
      </c>
      <c r="O345" s="2" t="s">
        <v>111</v>
      </c>
      <c r="P345" s="25">
        <v>8.6</v>
      </c>
      <c r="Q345" t="str">
        <f t="shared" si="46"/>
        <v>0344</v>
      </c>
      <c r="R345" t="str">
        <f>IF('RETAIL SALES DATA.'!H345&gt;AVERAGE('RETAIL SALES DATA.'!H345:H1344),"HIGHEST VALUE","LOWEST VALUE")</f>
        <v>LOWEST VALUE</v>
      </c>
      <c r="S345" t="str">
        <f t="shared" si="47"/>
        <v>Profit</v>
      </c>
      <c r="T345" t="str">
        <f t="shared" si="48"/>
        <v>Mr. Jose Holland Md</v>
      </c>
      <c r="U345" t="str">
        <f t="shared" si="49"/>
        <v>Mouse</v>
      </c>
      <c r="V345">
        <f t="shared" si="50"/>
        <v>2024</v>
      </c>
      <c r="W345">
        <f t="shared" si="51"/>
        <v>12</v>
      </c>
      <c r="X345">
        <f t="shared" si="52"/>
        <v>19</v>
      </c>
      <c r="Y345" t="str">
        <f t="shared" si="53"/>
        <v>Dec</v>
      </c>
      <c r="Z345">
        <f t="shared" si="54"/>
        <v>7</v>
      </c>
    </row>
    <row r="346" spans="1:26" ht="15.75" customHeight="1" x14ac:dyDescent="0.3">
      <c r="A346" s="2" t="s">
        <v>928</v>
      </c>
      <c r="B346" s="2" t="s">
        <v>929</v>
      </c>
      <c r="C346" s="2" t="s">
        <v>219</v>
      </c>
      <c r="D346" s="2" t="s">
        <v>43</v>
      </c>
      <c r="E346" s="2" t="s">
        <v>32</v>
      </c>
      <c r="F346" s="2">
        <v>8</v>
      </c>
      <c r="G346" s="2">
        <v>1986.01</v>
      </c>
      <c r="H346" s="2">
        <v>15888.08</v>
      </c>
      <c r="I346" s="2">
        <v>10437.200000000001</v>
      </c>
      <c r="J346" s="2">
        <v>5450.88</v>
      </c>
      <c r="K346" s="3">
        <v>45668</v>
      </c>
      <c r="L346" s="3">
        <v>45669</v>
      </c>
      <c r="M346" s="2" t="s">
        <v>50</v>
      </c>
      <c r="N346" s="2">
        <v>3</v>
      </c>
      <c r="O346" s="2" t="s">
        <v>318</v>
      </c>
      <c r="P346" s="25">
        <v>7.5</v>
      </c>
      <c r="Q346" t="str">
        <f t="shared" si="46"/>
        <v>0345</v>
      </c>
      <c r="R346" t="str">
        <f>IF('RETAIL SALES DATA.'!H346&gt;AVERAGE('RETAIL SALES DATA.'!H346:H1345),"HIGHEST VALUE","LOWEST VALUE")</f>
        <v>LOWEST VALUE</v>
      </c>
      <c r="S346" t="str">
        <f t="shared" si="47"/>
        <v>Profit</v>
      </c>
      <c r="T346" t="str">
        <f t="shared" si="48"/>
        <v>Keith Johnson</v>
      </c>
      <c r="U346" t="str">
        <f t="shared" si="49"/>
        <v>Smartphone</v>
      </c>
      <c r="V346">
        <f t="shared" si="50"/>
        <v>2025</v>
      </c>
      <c r="W346">
        <f t="shared" si="51"/>
        <v>1</v>
      </c>
      <c r="X346">
        <f t="shared" si="52"/>
        <v>11</v>
      </c>
      <c r="Y346" t="str">
        <f t="shared" si="53"/>
        <v>Jan</v>
      </c>
      <c r="Z346">
        <f t="shared" si="54"/>
        <v>1</v>
      </c>
    </row>
    <row r="347" spans="1:26" ht="15.75" customHeight="1" x14ac:dyDescent="0.3">
      <c r="A347" s="2" t="s">
        <v>930</v>
      </c>
      <c r="B347" s="2" t="s">
        <v>931</v>
      </c>
      <c r="C347" s="2" t="s">
        <v>18</v>
      </c>
      <c r="D347" s="2" t="s">
        <v>19</v>
      </c>
      <c r="E347" s="2" t="s">
        <v>20</v>
      </c>
      <c r="F347" s="2">
        <v>6</v>
      </c>
      <c r="G347" s="2">
        <v>906.6</v>
      </c>
      <c r="H347" s="2">
        <v>5439.6</v>
      </c>
      <c r="I347" s="2">
        <v>3337.87</v>
      </c>
      <c r="J347" s="2">
        <v>2101.73</v>
      </c>
      <c r="K347" s="3">
        <v>46144</v>
      </c>
      <c r="L347" s="3">
        <v>46152</v>
      </c>
      <c r="M347" s="2" t="s">
        <v>33</v>
      </c>
      <c r="N347" s="2">
        <v>3</v>
      </c>
      <c r="O347" s="2" t="s">
        <v>172</v>
      </c>
      <c r="P347" s="25">
        <v>6.3</v>
      </c>
      <c r="Q347" t="str">
        <f t="shared" si="46"/>
        <v>0346</v>
      </c>
      <c r="R347" t="str">
        <f>IF('RETAIL SALES DATA.'!H347&gt;AVERAGE('RETAIL SALES DATA.'!H347:H1346),"HIGHEST VALUE","LOWEST VALUE")</f>
        <v>LOWEST VALUE</v>
      </c>
      <c r="S347" t="str">
        <f t="shared" si="47"/>
        <v>Profit</v>
      </c>
      <c r="T347" t="str">
        <f t="shared" si="48"/>
        <v>Kristin Blair</v>
      </c>
      <c r="U347" t="str">
        <f t="shared" si="49"/>
        <v>Pen</v>
      </c>
      <c r="V347">
        <f t="shared" si="50"/>
        <v>2026</v>
      </c>
      <c r="W347">
        <f t="shared" si="51"/>
        <v>5</v>
      </c>
      <c r="X347">
        <f t="shared" si="52"/>
        <v>2</v>
      </c>
      <c r="Y347" t="str">
        <f t="shared" si="53"/>
        <v>May</v>
      </c>
      <c r="Z347">
        <f t="shared" si="54"/>
        <v>8</v>
      </c>
    </row>
    <row r="348" spans="1:26" ht="15.75" customHeight="1" x14ac:dyDescent="0.3">
      <c r="A348" s="2" t="s">
        <v>932</v>
      </c>
      <c r="B348" s="2" t="s">
        <v>933</v>
      </c>
      <c r="C348" s="2" t="s">
        <v>88</v>
      </c>
      <c r="D348" s="2" t="s">
        <v>31</v>
      </c>
      <c r="E348" s="2" t="s">
        <v>25</v>
      </c>
      <c r="F348" s="2">
        <v>19</v>
      </c>
      <c r="G348" s="2">
        <v>3929.36</v>
      </c>
      <c r="H348" s="2">
        <v>74657.84</v>
      </c>
      <c r="I348" s="2">
        <v>46316.68</v>
      </c>
      <c r="J348" s="2">
        <v>28341.16</v>
      </c>
      <c r="K348" s="3">
        <v>46097</v>
      </c>
      <c r="L348" s="3">
        <v>46104</v>
      </c>
      <c r="M348" s="2" t="s">
        <v>58</v>
      </c>
      <c r="N348" s="2">
        <v>2</v>
      </c>
      <c r="O348" s="2" t="s">
        <v>585</v>
      </c>
      <c r="P348" s="25">
        <v>8</v>
      </c>
      <c r="Q348" t="str">
        <f t="shared" si="46"/>
        <v>0347</v>
      </c>
      <c r="R348" t="str">
        <f>IF('RETAIL SALES DATA.'!H348&gt;AVERAGE('RETAIL SALES DATA.'!H348:H1347),"HIGHEST VALUE","LOWEST VALUE")</f>
        <v>HIGHEST VALUE</v>
      </c>
      <c r="S348" t="str">
        <f t="shared" si="47"/>
        <v>Profit</v>
      </c>
      <c r="T348" t="str">
        <f t="shared" si="48"/>
        <v>Heather Thompson</v>
      </c>
      <c r="U348" t="str">
        <f t="shared" si="49"/>
        <v>Cupboard</v>
      </c>
      <c r="V348">
        <f t="shared" si="50"/>
        <v>2026</v>
      </c>
      <c r="W348">
        <f t="shared" si="51"/>
        <v>3</v>
      </c>
      <c r="X348">
        <f t="shared" si="52"/>
        <v>16</v>
      </c>
      <c r="Y348" t="str">
        <f t="shared" si="53"/>
        <v>Mar</v>
      </c>
      <c r="Z348">
        <f t="shared" si="54"/>
        <v>7</v>
      </c>
    </row>
    <row r="349" spans="1:26" ht="15.75" customHeight="1" x14ac:dyDescent="0.3">
      <c r="A349" s="2" t="s">
        <v>934</v>
      </c>
      <c r="B349" s="2" t="s">
        <v>935</v>
      </c>
      <c r="C349" s="2" t="s">
        <v>37</v>
      </c>
      <c r="D349" s="2" t="s">
        <v>19</v>
      </c>
      <c r="E349" s="2" t="s">
        <v>20</v>
      </c>
      <c r="F349" s="2">
        <v>19</v>
      </c>
      <c r="G349" s="2">
        <v>4700.45</v>
      </c>
      <c r="H349" s="2">
        <v>89308.55</v>
      </c>
      <c r="I349" s="2">
        <v>75222.259999999995</v>
      </c>
      <c r="J349" s="2">
        <v>14086.29</v>
      </c>
      <c r="K349" s="3">
        <v>45591</v>
      </c>
      <c r="L349" s="3">
        <v>45599</v>
      </c>
      <c r="M349" s="2" t="s">
        <v>38</v>
      </c>
      <c r="N349" s="2">
        <v>3</v>
      </c>
      <c r="O349" s="2" t="s">
        <v>936</v>
      </c>
      <c r="P349" s="25">
        <v>8.4</v>
      </c>
      <c r="Q349" t="str">
        <f t="shared" si="46"/>
        <v>0348</v>
      </c>
      <c r="R349" t="str">
        <f>IF('RETAIL SALES DATA.'!H349&gt;AVERAGE('RETAIL SALES DATA.'!H349:H1348),"HIGHEST VALUE","LOWEST VALUE")</f>
        <v>HIGHEST VALUE</v>
      </c>
      <c r="S349" t="str">
        <f t="shared" si="47"/>
        <v>Profit</v>
      </c>
      <c r="T349" t="str">
        <f t="shared" si="48"/>
        <v>Robert Branch</v>
      </c>
      <c r="U349" t="str">
        <f t="shared" si="49"/>
        <v>Marker</v>
      </c>
      <c r="V349">
        <f t="shared" si="50"/>
        <v>2024</v>
      </c>
      <c r="W349">
        <f t="shared" si="51"/>
        <v>11</v>
      </c>
      <c r="X349">
        <f t="shared" si="52"/>
        <v>26</v>
      </c>
      <c r="Y349" t="str">
        <f t="shared" si="53"/>
        <v>Oct</v>
      </c>
      <c r="Z349">
        <f t="shared" si="54"/>
        <v>8</v>
      </c>
    </row>
    <row r="350" spans="1:26" ht="15.75" customHeight="1" x14ac:dyDescent="0.3">
      <c r="A350" s="2" t="s">
        <v>937</v>
      </c>
      <c r="B350" s="2" t="s">
        <v>938</v>
      </c>
      <c r="C350" s="2" t="s">
        <v>168</v>
      </c>
      <c r="D350" s="2" t="s">
        <v>43</v>
      </c>
      <c r="E350" s="2" t="s">
        <v>25</v>
      </c>
      <c r="F350" s="2">
        <v>4</v>
      </c>
      <c r="G350" s="2">
        <v>3285.06</v>
      </c>
      <c r="H350" s="2">
        <v>13140.24</v>
      </c>
      <c r="I350" s="2">
        <v>8237.41</v>
      </c>
      <c r="J350" s="2">
        <v>4902.83</v>
      </c>
      <c r="K350" s="3">
        <v>45620</v>
      </c>
      <c r="L350" s="3">
        <v>45623</v>
      </c>
      <c r="M350" s="2" t="s">
        <v>21</v>
      </c>
      <c r="N350" s="2">
        <v>4</v>
      </c>
      <c r="O350" s="2" t="s">
        <v>899</v>
      </c>
      <c r="P350" s="25">
        <v>7.9</v>
      </c>
      <c r="Q350" t="str">
        <f t="shared" si="46"/>
        <v>0349</v>
      </c>
      <c r="R350" t="str">
        <f>IF('RETAIL SALES DATA.'!H350&gt;AVERAGE('RETAIL SALES DATA.'!H350:H1349),"HIGHEST VALUE","LOWEST VALUE")</f>
        <v>LOWEST VALUE</v>
      </c>
      <c r="S350" t="str">
        <f t="shared" si="47"/>
        <v>Profit</v>
      </c>
      <c r="T350" t="str">
        <f t="shared" si="48"/>
        <v>Crystal Mitchell</v>
      </c>
      <c r="U350" t="str">
        <f t="shared" si="49"/>
        <v>Keyboard</v>
      </c>
      <c r="V350">
        <f t="shared" si="50"/>
        <v>2024</v>
      </c>
      <c r="W350">
        <f t="shared" si="51"/>
        <v>11</v>
      </c>
      <c r="X350">
        <f t="shared" si="52"/>
        <v>24</v>
      </c>
      <c r="Y350" t="str">
        <f t="shared" si="53"/>
        <v>Nov</v>
      </c>
      <c r="Z350">
        <f t="shared" si="54"/>
        <v>3</v>
      </c>
    </row>
    <row r="351" spans="1:26" ht="15.75" customHeight="1" x14ac:dyDescent="0.3">
      <c r="A351" s="2" t="s">
        <v>939</v>
      </c>
      <c r="B351" s="2" t="s">
        <v>940</v>
      </c>
      <c r="C351" s="2" t="s">
        <v>139</v>
      </c>
      <c r="D351" s="2" t="s">
        <v>31</v>
      </c>
      <c r="E351" s="2" t="s">
        <v>32</v>
      </c>
      <c r="F351" s="2">
        <v>11</v>
      </c>
      <c r="G351" s="2">
        <v>4055.48</v>
      </c>
      <c r="H351" s="2">
        <v>44610.28</v>
      </c>
      <c r="I351" s="2">
        <v>39316.379999999997</v>
      </c>
      <c r="J351" s="2">
        <v>5293.9</v>
      </c>
      <c r="K351" s="3">
        <v>45456</v>
      </c>
      <c r="L351" s="3">
        <v>45461</v>
      </c>
      <c r="M351" s="2" t="s">
        <v>181</v>
      </c>
      <c r="N351" s="2">
        <v>1</v>
      </c>
      <c r="O351" s="2" t="s">
        <v>27</v>
      </c>
      <c r="P351" s="25">
        <v>7.2</v>
      </c>
      <c r="Q351" t="str">
        <f t="shared" si="46"/>
        <v>0350</v>
      </c>
      <c r="R351" t="str">
        <f>IF('RETAIL SALES DATA.'!H351&gt;AVERAGE('RETAIL SALES DATA.'!H351:H1350),"HIGHEST VALUE","LOWEST VALUE")</f>
        <v>HIGHEST VALUE</v>
      </c>
      <c r="S351" t="str">
        <f t="shared" si="47"/>
        <v>Profit</v>
      </c>
      <c r="T351" t="str">
        <f t="shared" si="48"/>
        <v>Sandra Hernandez Md</v>
      </c>
      <c r="U351" t="str">
        <f t="shared" si="49"/>
        <v>Sofa</v>
      </c>
      <c r="V351">
        <f t="shared" si="50"/>
        <v>2024</v>
      </c>
      <c r="W351">
        <f t="shared" si="51"/>
        <v>6</v>
      </c>
      <c r="X351">
        <f t="shared" si="52"/>
        <v>13</v>
      </c>
      <c r="Y351" t="str">
        <f t="shared" si="53"/>
        <v>Jun</v>
      </c>
      <c r="Z351">
        <f t="shared" si="54"/>
        <v>5</v>
      </c>
    </row>
    <row r="352" spans="1:26" ht="15.75" customHeight="1" x14ac:dyDescent="0.3">
      <c r="A352" s="2" t="s">
        <v>941</v>
      </c>
      <c r="B352" s="2" t="s">
        <v>942</v>
      </c>
      <c r="C352" s="2" t="s">
        <v>62</v>
      </c>
      <c r="D352" s="2" t="s">
        <v>31</v>
      </c>
      <c r="E352" s="2" t="s">
        <v>32</v>
      </c>
      <c r="F352" s="2">
        <v>11</v>
      </c>
      <c r="G352" s="2">
        <v>4034.4</v>
      </c>
      <c r="H352" s="2">
        <v>44378.400000000001</v>
      </c>
      <c r="I352" s="2">
        <v>34106.050000000003</v>
      </c>
      <c r="J352" s="2">
        <v>10272.35</v>
      </c>
      <c r="K352" s="3">
        <v>45450</v>
      </c>
      <c r="L352" s="3">
        <v>45452</v>
      </c>
      <c r="M352" s="2" t="s">
        <v>38</v>
      </c>
      <c r="N352" s="2">
        <v>5</v>
      </c>
      <c r="O352" s="2" t="s">
        <v>240</v>
      </c>
      <c r="P352" s="25">
        <v>9.9</v>
      </c>
      <c r="Q352" t="str">
        <f t="shared" si="46"/>
        <v>0351</v>
      </c>
      <c r="R352" t="str">
        <f>IF('RETAIL SALES DATA.'!H352&gt;AVERAGE('RETAIL SALES DATA.'!H352:H1351),"HIGHEST VALUE","LOWEST VALUE")</f>
        <v>HIGHEST VALUE</v>
      </c>
      <c r="S352" t="str">
        <f t="shared" si="47"/>
        <v>Profit</v>
      </c>
      <c r="T352" t="str">
        <f t="shared" si="48"/>
        <v>John Clark</v>
      </c>
      <c r="U352" t="str">
        <f t="shared" si="49"/>
        <v>Table</v>
      </c>
      <c r="V352">
        <f t="shared" si="50"/>
        <v>2024</v>
      </c>
      <c r="W352">
        <f t="shared" si="51"/>
        <v>6</v>
      </c>
      <c r="X352">
        <f t="shared" si="52"/>
        <v>7</v>
      </c>
      <c r="Y352" t="str">
        <f t="shared" si="53"/>
        <v>Jun</v>
      </c>
      <c r="Z352">
        <f t="shared" si="54"/>
        <v>2</v>
      </c>
    </row>
    <row r="353" spans="1:26" ht="15.75" customHeight="1" x14ac:dyDescent="0.3">
      <c r="A353" s="2" t="s">
        <v>943</v>
      </c>
      <c r="B353" s="2" t="s">
        <v>944</v>
      </c>
      <c r="C353" s="2" t="s">
        <v>72</v>
      </c>
      <c r="D353" s="2" t="s">
        <v>31</v>
      </c>
      <c r="E353" s="2" t="s">
        <v>20</v>
      </c>
      <c r="F353" s="2">
        <v>20</v>
      </c>
      <c r="G353" s="2">
        <v>1630.41</v>
      </c>
      <c r="H353" s="2">
        <v>32608.2</v>
      </c>
      <c r="I353" s="2">
        <v>28531.35</v>
      </c>
      <c r="J353" s="2">
        <v>4076.85</v>
      </c>
      <c r="K353" s="3">
        <v>46101</v>
      </c>
      <c r="L353" s="3">
        <v>46107</v>
      </c>
      <c r="M353" s="2" t="s">
        <v>33</v>
      </c>
      <c r="N353" s="2">
        <v>4</v>
      </c>
      <c r="O353" s="2" t="s">
        <v>780</v>
      </c>
      <c r="P353" s="25">
        <v>8.6</v>
      </c>
      <c r="Q353" t="str">
        <f t="shared" si="46"/>
        <v>0352</v>
      </c>
      <c r="R353" t="str">
        <f>IF('RETAIL SALES DATA.'!H353&gt;AVERAGE('RETAIL SALES DATA.'!H353:H1352),"HIGHEST VALUE","LOWEST VALUE")</f>
        <v>HIGHEST VALUE</v>
      </c>
      <c r="S353" t="str">
        <f t="shared" si="47"/>
        <v>Profit</v>
      </c>
      <c r="T353" t="str">
        <f t="shared" si="48"/>
        <v>Kelsey Baxter</v>
      </c>
      <c r="U353" t="str">
        <f t="shared" si="49"/>
        <v>Chair</v>
      </c>
      <c r="V353">
        <f t="shared" si="50"/>
        <v>2026</v>
      </c>
      <c r="W353">
        <f t="shared" si="51"/>
        <v>3</v>
      </c>
      <c r="X353">
        <f t="shared" si="52"/>
        <v>20</v>
      </c>
      <c r="Y353" t="str">
        <f t="shared" si="53"/>
        <v>Mar</v>
      </c>
      <c r="Z353">
        <f t="shared" si="54"/>
        <v>6</v>
      </c>
    </row>
    <row r="354" spans="1:26" ht="15.75" customHeight="1" x14ac:dyDescent="0.3">
      <c r="A354" s="2" t="s">
        <v>945</v>
      </c>
      <c r="B354" s="2" t="s">
        <v>946</v>
      </c>
      <c r="C354" s="2" t="s">
        <v>139</v>
      </c>
      <c r="D354" s="2" t="s">
        <v>31</v>
      </c>
      <c r="E354" s="2" t="s">
        <v>20</v>
      </c>
      <c r="F354" s="2">
        <v>17</v>
      </c>
      <c r="G354" s="2">
        <v>2667.03</v>
      </c>
      <c r="H354" s="2">
        <v>45339.51</v>
      </c>
      <c r="I354" s="2">
        <v>30963.59</v>
      </c>
      <c r="J354" s="2">
        <v>14375.92</v>
      </c>
      <c r="K354" s="3">
        <v>45534</v>
      </c>
      <c r="L354" s="3">
        <v>45541</v>
      </c>
      <c r="M354" s="2" t="s">
        <v>69</v>
      </c>
      <c r="N354" s="2">
        <v>4</v>
      </c>
      <c r="O354" s="2" t="s">
        <v>904</v>
      </c>
      <c r="P354" s="25">
        <v>7.7</v>
      </c>
      <c r="Q354" t="str">
        <f t="shared" si="46"/>
        <v>0353</v>
      </c>
      <c r="R354" t="str">
        <f>IF('RETAIL SALES DATA.'!H354&gt;AVERAGE('RETAIL SALES DATA.'!H354:H1353),"HIGHEST VALUE","LOWEST VALUE")</f>
        <v>HIGHEST VALUE</v>
      </c>
      <c r="S354" t="str">
        <f t="shared" si="47"/>
        <v>Profit</v>
      </c>
      <c r="T354" t="str">
        <f t="shared" si="48"/>
        <v>Shane Jones</v>
      </c>
      <c r="U354" t="str">
        <f t="shared" si="49"/>
        <v>Sofa</v>
      </c>
      <c r="V354">
        <f t="shared" si="50"/>
        <v>2024</v>
      </c>
      <c r="W354">
        <f t="shared" si="51"/>
        <v>9</v>
      </c>
      <c r="X354">
        <f t="shared" si="52"/>
        <v>30</v>
      </c>
      <c r="Y354" t="str">
        <f t="shared" si="53"/>
        <v>Aug</v>
      </c>
      <c r="Z354">
        <f t="shared" si="54"/>
        <v>7</v>
      </c>
    </row>
    <row r="355" spans="1:26" ht="15.75" customHeight="1" x14ac:dyDescent="0.3">
      <c r="A355" s="2" t="s">
        <v>947</v>
      </c>
      <c r="B355" s="2" t="s">
        <v>948</v>
      </c>
      <c r="C355" s="2" t="s">
        <v>57</v>
      </c>
      <c r="D355" s="2" t="s">
        <v>19</v>
      </c>
      <c r="E355" s="2" t="s">
        <v>44</v>
      </c>
      <c r="F355" s="2">
        <v>5</v>
      </c>
      <c r="G355" s="2">
        <v>1092.94</v>
      </c>
      <c r="H355" s="2">
        <v>5464.7</v>
      </c>
      <c r="I355" s="2">
        <v>4610.16</v>
      </c>
      <c r="J355" s="2">
        <v>854.54</v>
      </c>
      <c r="K355" s="3">
        <v>45469</v>
      </c>
      <c r="L355" s="3">
        <v>45475</v>
      </c>
      <c r="M355" s="2" t="s">
        <v>58</v>
      </c>
      <c r="N355" s="2">
        <v>1</v>
      </c>
      <c r="O355" s="2" t="s">
        <v>362</v>
      </c>
      <c r="P355" s="25">
        <v>6.3</v>
      </c>
      <c r="Q355" t="str">
        <f t="shared" si="46"/>
        <v>0354</v>
      </c>
      <c r="R355" t="str">
        <f>IF('RETAIL SALES DATA.'!H355&gt;AVERAGE('RETAIL SALES DATA.'!H355:H1354),"HIGHEST VALUE","LOWEST VALUE")</f>
        <v>LOWEST VALUE</v>
      </c>
      <c r="S355" t="str">
        <f t="shared" si="47"/>
        <v>Profit</v>
      </c>
      <c r="T355" t="str">
        <f t="shared" si="48"/>
        <v>Diane Vega</v>
      </c>
      <c r="U355" t="str">
        <f t="shared" si="49"/>
        <v>Notebook</v>
      </c>
      <c r="V355">
        <f t="shared" si="50"/>
        <v>2024</v>
      </c>
      <c r="W355">
        <f t="shared" si="51"/>
        <v>7</v>
      </c>
      <c r="X355">
        <f t="shared" si="52"/>
        <v>26</v>
      </c>
      <c r="Y355" t="str">
        <f t="shared" si="53"/>
        <v>Jun</v>
      </c>
      <c r="Z355">
        <f t="shared" si="54"/>
        <v>6</v>
      </c>
    </row>
    <row r="356" spans="1:26" ht="15.75" customHeight="1" x14ac:dyDescent="0.3">
      <c r="A356" s="2" t="s">
        <v>949</v>
      </c>
      <c r="B356" s="2" t="s">
        <v>950</v>
      </c>
      <c r="C356" s="2" t="s">
        <v>57</v>
      </c>
      <c r="D356" s="2" t="s">
        <v>19</v>
      </c>
      <c r="E356" s="2" t="s">
        <v>25</v>
      </c>
      <c r="F356" s="2">
        <v>10</v>
      </c>
      <c r="G356" s="2">
        <v>1350.18</v>
      </c>
      <c r="H356" s="2">
        <v>13501.8</v>
      </c>
      <c r="I356" s="2">
        <v>10760.8</v>
      </c>
      <c r="J356" s="2">
        <v>2741</v>
      </c>
      <c r="K356" s="3">
        <v>45680</v>
      </c>
      <c r="L356" s="3">
        <v>45683</v>
      </c>
      <c r="M356" s="2" t="s">
        <v>38</v>
      </c>
      <c r="N356" s="2">
        <v>3</v>
      </c>
      <c r="O356" s="2" t="s">
        <v>496</v>
      </c>
      <c r="P356" s="25">
        <v>8.6999999999999993</v>
      </c>
      <c r="Q356" t="str">
        <f t="shared" si="46"/>
        <v>0355</v>
      </c>
      <c r="R356" t="str">
        <f>IF('RETAIL SALES DATA.'!H356&gt;AVERAGE('RETAIL SALES DATA.'!H356:H1355),"HIGHEST VALUE","LOWEST VALUE")</f>
        <v>LOWEST VALUE</v>
      </c>
      <c r="S356" t="str">
        <f t="shared" si="47"/>
        <v>Profit</v>
      </c>
      <c r="T356" t="str">
        <f t="shared" si="48"/>
        <v>Joshua Wall</v>
      </c>
      <c r="U356" t="str">
        <f t="shared" si="49"/>
        <v>Notebook</v>
      </c>
      <c r="V356">
        <f t="shared" si="50"/>
        <v>2025</v>
      </c>
      <c r="W356">
        <f t="shared" si="51"/>
        <v>1</v>
      </c>
      <c r="X356">
        <f t="shared" si="52"/>
        <v>23</v>
      </c>
      <c r="Y356" t="str">
        <f t="shared" si="53"/>
        <v>Jan</v>
      </c>
      <c r="Z356">
        <f t="shared" si="54"/>
        <v>3</v>
      </c>
    </row>
    <row r="357" spans="1:26" ht="15.75" customHeight="1" x14ac:dyDescent="0.3">
      <c r="A357" s="2" t="s">
        <v>951</v>
      </c>
      <c r="B357" s="2" t="s">
        <v>952</v>
      </c>
      <c r="C357" s="2" t="s">
        <v>72</v>
      </c>
      <c r="D357" s="2" t="s">
        <v>31</v>
      </c>
      <c r="E357" s="2" t="s">
        <v>32</v>
      </c>
      <c r="F357" s="2">
        <v>4</v>
      </c>
      <c r="G357" s="2">
        <v>2164.94</v>
      </c>
      <c r="H357" s="2">
        <v>8659.76</v>
      </c>
      <c r="I357" s="2">
        <v>4383.57</v>
      </c>
      <c r="J357" s="2">
        <v>4276.1899999999996</v>
      </c>
      <c r="K357" s="3">
        <v>46131</v>
      </c>
      <c r="L357" s="3">
        <v>46132</v>
      </c>
      <c r="M357" s="2" t="s">
        <v>45</v>
      </c>
      <c r="N357" s="2">
        <v>1</v>
      </c>
      <c r="O357" s="2" t="s">
        <v>506</v>
      </c>
      <c r="P357" s="25">
        <v>9.5</v>
      </c>
      <c r="Q357" t="str">
        <f t="shared" si="46"/>
        <v>0356</v>
      </c>
      <c r="R357" t="str">
        <f>IF('RETAIL SALES DATA.'!H357&gt;AVERAGE('RETAIL SALES DATA.'!H357:H1356),"HIGHEST VALUE","LOWEST VALUE")</f>
        <v>LOWEST VALUE</v>
      </c>
      <c r="S357" t="str">
        <f t="shared" si="47"/>
        <v>Profit</v>
      </c>
      <c r="T357" t="str">
        <f t="shared" si="48"/>
        <v>William Evans</v>
      </c>
      <c r="U357" t="str">
        <f t="shared" si="49"/>
        <v>Chair</v>
      </c>
      <c r="V357">
        <f t="shared" si="50"/>
        <v>2026</v>
      </c>
      <c r="W357">
        <f t="shared" si="51"/>
        <v>4</v>
      </c>
      <c r="X357">
        <f t="shared" si="52"/>
        <v>19</v>
      </c>
      <c r="Y357" t="str">
        <f t="shared" si="53"/>
        <v>Apr</v>
      </c>
      <c r="Z357">
        <f t="shared" si="54"/>
        <v>1</v>
      </c>
    </row>
    <row r="358" spans="1:26" ht="15.75" customHeight="1" x14ac:dyDescent="0.3">
      <c r="A358" s="2" t="s">
        <v>953</v>
      </c>
      <c r="B358" s="2" t="s">
        <v>954</v>
      </c>
      <c r="C358" s="2" t="s">
        <v>144</v>
      </c>
      <c r="D358" s="2" t="s">
        <v>19</v>
      </c>
      <c r="E358" s="2" t="s">
        <v>44</v>
      </c>
      <c r="F358" s="2">
        <v>7</v>
      </c>
      <c r="G358" s="2">
        <v>4793.24</v>
      </c>
      <c r="H358" s="2">
        <v>33552.68</v>
      </c>
      <c r="I358" s="2">
        <v>21270.99</v>
      </c>
      <c r="J358" s="2">
        <v>12281.69</v>
      </c>
      <c r="K358" s="3">
        <v>46140</v>
      </c>
      <c r="L358" s="3">
        <v>46148</v>
      </c>
      <c r="M358" s="2" t="s">
        <v>50</v>
      </c>
      <c r="N358" s="2">
        <v>3</v>
      </c>
      <c r="O358" s="2" t="s">
        <v>955</v>
      </c>
      <c r="P358" s="25">
        <v>9.8000000000000007</v>
      </c>
      <c r="Q358" t="str">
        <f t="shared" si="46"/>
        <v>0357</v>
      </c>
      <c r="R358" t="str">
        <f>IF('RETAIL SALES DATA.'!H358&gt;AVERAGE('RETAIL SALES DATA.'!H358:H1357),"HIGHEST VALUE","LOWEST VALUE")</f>
        <v>HIGHEST VALUE</v>
      </c>
      <c r="S358" t="str">
        <f t="shared" si="47"/>
        <v>Profit</v>
      </c>
      <c r="T358" t="str">
        <f t="shared" si="48"/>
        <v>Amanda Carroll</v>
      </c>
      <c r="U358" t="str">
        <f t="shared" si="49"/>
        <v>File</v>
      </c>
      <c r="V358">
        <f t="shared" si="50"/>
        <v>2026</v>
      </c>
      <c r="W358">
        <f t="shared" si="51"/>
        <v>5</v>
      </c>
      <c r="X358">
        <f t="shared" si="52"/>
        <v>28</v>
      </c>
      <c r="Y358" t="str">
        <f t="shared" si="53"/>
        <v>Apr</v>
      </c>
      <c r="Z358">
        <f t="shared" si="54"/>
        <v>8</v>
      </c>
    </row>
    <row r="359" spans="1:26" ht="15.75" customHeight="1" x14ac:dyDescent="0.3">
      <c r="A359" s="2" t="s">
        <v>956</v>
      </c>
      <c r="B359" s="2" t="s">
        <v>957</v>
      </c>
      <c r="C359" s="2" t="s">
        <v>168</v>
      </c>
      <c r="D359" s="2" t="s">
        <v>43</v>
      </c>
      <c r="E359" s="2" t="s">
        <v>20</v>
      </c>
      <c r="F359" s="2">
        <v>5</v>
      </c>
      <c r="G359" s="2">
        <v>1785.75</v>
      </c>
      <c r="H359" s="2">
        <v>8928.75</v>
      </c>
      <c r="I359" s="2">
        <v>6447.06</v>
      </c>
      <c r="J359" s="2">
        <v>2481.69</v>
      </c>
      <c r="K359" s="3">
        <v>45922</v>
      </c>
      <c r="L359" s="3">
        <v>45931</v>
      </c>
      <c r="M359" s="2" t="s">
        <v>38</v>
      </c>
      <c r="N359" s="2">
        <v>3</v>
      </c>
      <c r="O359" s="2" t="s">
        <v>436</v>
      </c>
      <c r="P359" s="25">
        <v>8.1</v>
      </c>
      <c r="Q359" t="str">
        <f t="shared" si="46"/>
        <v>0358</v>
      </c>
      <c r="R359" t="str">
        <f>IF('RETAIL SALES DATA.'!H359&gt;AVERAGE('RETAIL SALES DATA.'!H359:H1358),"HIGHEST VALUE","LOWEST VALUE")</f>
        <v>LOWEST VALUE</v>
      </c>
      <c r="S359" t="str">
        <f t="shared" si="47"/>
        <v>Profit</v>
      </c>
      <c r="T359" t="str">
        <f t="shared" si="48"/>
        <v>Angela Douglas</v>
      </c>
      <c r="U359" t="str">
        <f t="shared" si="49"/>
        <v>Keyboard</v>
      </c>
      <c r="V359">
        <f t="shared" si="50"/>
        <v>2025</v>
      </c>
      <c r="W359">
        <f t="shared" si="51"/>
        <v>10</v>
      </c>
      <c r="X359">
        <f t="shared" si="52"/>
        <v>22</v>
      </c>
      <c r="Y359" t="str">
        <f t="shared" si="53"/>
        <v>Sep</v>
      </c>
      <c r="Z359">
        <f t="shared" si="54"/>
        <v>9</v>
      </c>
    </row>
    <row r="360" spans="1:26" ht="15.75" customHeight="1" x14ac:dyDescent="0.3">
      <c r="A360" s="2" t="s">
        <v>958</v>
      </c>
      <c r="B360" s="2" t="s">
        <v>959</v>
      </c>
      <c r="C360" s="2" t="s">
        <v>139</v>
      </c>
      <c r="D360" s="2" t="s">
        <v>31</v>
      </c>
      <c r="E360" s="2" t="s">
        <v>20</v>
      </c>
      <c r="F360" s="2">
        <v>10</v>
      </c>
      <c r="G360" s="2">
        <v>1349.49</v>
      </c>
      <c r="H360" s="2">
        <v>13494.9</v>
      </c>
      <c r="I360" s="2">
        <v>9677.7199999999993</v>
      </c>
      <c r="J360" s="2">
        <v>3817.18</v>
      </c>
      <c r="K360" s="3">
        <v>45976</v>
      </c>
      <c r="L360" s="3">
        <v>45978</v>
      </c>
      <c r="M360" s="2" t="s">
        <v>38</v>
      </c>
      <c r="N360" s="2">
        <v>5</v>
      </c>
      <c r="O360" s="2" t="s">
        <v>888</v>
      </c>
      <c r="P360" s="25">
        <v>8.5</v>
      </c>
      <c r="Q360" t="str">
        <f t="shared" si="46"/>
        <v>0359</v>
      </c>
      <c r="R360" t="str">
        <f>IF('RETAIL SALES DATA.'!H360&gt;AVERAGE('RETAIL SALES DATA.'!H360:H1359),"HIGHEST VALUE","LOWEST VALUE")</f>
        <v>LOWEST VALUE</v>
      </c>
      <c r="S360" t="str">
        <f t="shared" si="47"/>
        <v>Profit</v>
      </c>
      <c r="T360" t="str">
        <f t="shared" si="48"/>
        <v>Andrew Daniels</v>
      </c>
      <c r="U360" t="str">
        <f t="shared" si="49"/>
        <v>Sofa</v>
      </c>
      <c r="V360">
        <f t="shared" si="50"/>
        <v>2025</v>
      </c>
      <c r="W360">
        <f t="shared" si="51"/>
        <v>11</v>
      </c>
      <c r="X360">
        <f t="shared" si="52"/>
        <v>15</v>
      </c>
      <c r="Y360" t="str">
        <f t="shared" si="53"/>
        <v>Nov</v>
      </c>
      <c r="Z360">
        <f t="shared" si="54"/>
        <v>2</v>
      </c>
    </row>
    <row r="361" spans="1:26" ht="15.75" customHeight="1" x14ac:dyDescent="0.3">
      <c r="A361" s="2" t="s">
        <v>960</v>
      </c>
      <c r="B361" s="2" t="s">
        <v>961</v>
      </c>
      <c r="C361" s="2" t="s">
        <v>195</v>
      </c>
      <c r="D361" s="2" t="s">
        <v>43</v>
      </c>
      <c r="E361" s="2" t="s">
        <v>25</v>
      </c>
      <c r="F361" s="2">
        <v>17</v>
      </c>
      <c r="G361" s="2">
        <v>4535.22</v>
      </c>
      <c r="H361" s="2">
        <v>77098.740000000005</v>
      </c>
      <c r="I361" s="2">
        <v>46213.82</v>
      </c>
      <c r="J361" s="2">
        <v>30884.92</v>
      </c>
      <c r="K361" s="3">
        <v>45963</v>
      </c>
      <c r="L361" s="3">
        <v>45971</v>
      </c>
      <c r="M361" s="2" t="s">
        <v>33</v>
      </c>
      <c r="N361" s="2">
        <v>4</v>
      </c>
      <c r="O361" s="2" t="s">
        <v>610</v>
      </c>
      <c r="P361" s="25">
        <v>8.3000000000000007</v>
      </c>
      <c r="Q361" t="str">
        <f t="shared" si="46"/>
        <v>0360</v>
      </c>
      <c r="R361" t="str">
        <f>IF('RETAIL SALES DATA.'!H361&gt;AVERAGE('RETAIL SALES DATA.'!H361:H1360),"HIGHEST VALUE","LOWEST VALUE")</f>
        <v>HIGHEST VALUE</v>
      </c>
      <c r="S361" t="str">
        <f t="shared" si="47"/>
        <v>Profit</v>
      </c>
      <c r="T361" t="str">
        <f t="shared" si="48"/>
        <v>Jodi Clark</v>
      </c>
      <c r="U361" t="str">
        <f t="shared" si="49"/>
        <v>Monitor</v>
      </c>
      <c r="V361">
        <f t="shared" si="50"/>
        <v>2025</v>
      </c>
      <c r="W361">
        <f t="shared" si="51"/>
        <v>11</v>
      </c>
      <c r="X361">
        <f t="shared" si="52"/>
        <v>2</v>
      </c>
      <c r="Y361" t="str">
        <f t="shared" si="53"/>
        <v>Nov</v>
      </c>
      <c r="Z361">
        <f t="shared" si="54"/>
        <v>8</v>
      </c>
    </row>
    <row r="362" spans="1:26" ht="15.75" customHeight="1" x14ac:dyDescent="0.3">
      <c r="A362" s="2" t="s">
        <v>962</v>
      </c>
      <c r="B362" s="2" t="s">
        <v>963</v>
      </c>
      <c r="C362" s="2" t="s">
        <v>57</v>
      </c>
      <c r="D362" s="2" t="s">
        <v>19</v>
      </c>
      <c r="E362" s="2" t="s">
        <v>25</v>
      </c>
      <c r="F362" s="2">
        <v>19</v>
      </c>
      <c r="G362" s="2">
        <v>2206.44</v>
      </c>
      <c r="H362" s="2">
        <v>41922.36</v>
      </c>
      <c r="I362" s="2">
        <v>23760.23</v>
      </c>
      <c r="J362" s="2">
        <v>18162.13</v>
      </c>
      <c r="K362" s="3">
        <v>45481</v>
      </c>
      <c r="L362" s="3">
        <v>45490</v>
      </c>
      <c r="M362" s="2" t="s">
        <v>50</v>
      </c>
      <c r="N362" s="2">
        <v>5</v>
      </c>
      <c r="O362" s="2" t="s">
        <v>92</v>
      </c>
      <c r="P362" s="25">
        <v>9.6999999999999993</v>
      </c>
      <c r="Q362" t="str">
        <f t="shared" si="46"/>
        <v>0361</v>
      </c>
      <c r="R362" t="str">
        <f>IF('RETAIL SALES DATA.'!H362&gt;AVERAGE('RETAIL SALES DATA.'!H362:H1361),"HIGHEST VALUE","LOWEST VALUE")</f>
        <v>HIGHEST VALUE</v>
      </c>
      <c r="S362" t="str">
        <f t="shared" si="47"/>
        <v>Profit</v>
      </c>
      <c r="T362" t="str">
        <f t="shared" si="48"/>
        <v>Kristin Moore</v>
      </c>
      <c r="U362" t="str">
        <f t="shared" si="49"/>
        <v>Notebook</v>
      </c>
      <c r="V362">
        <f t="shared" si="50"/>
        <v>2024</v>
      </c>
      <c r="W362">
        <f t="shared" si="51"/>
        <v>7</v>
      </c>
      <c r="X362">
        <f t="shared" si="52"/>
        <v>8</v>
      </c>
      <c r="Y362" t="str">
        <f t="shared" si="53"/>
        <v>Jul</v>
      </c>
      <c r="Z362">
        <f t="shared" si="54"/>
        <v>9</v>
      </c>
    </row>
    <row r="363" spans="1:26" ht="15.75" customHeight="1" x14ac:dyDescent="0.3">
      <c r="A363" s="2" t="s">
        <v>964</v>
      </c>
      <c r="B363" s="2" t="s">
        <v>965</v>
      </c>
      <c r="C363" s="2" t="s">
        <v>62</v>
      </c>
      <c r="D363" s="2" t="s">
        <v>31</v>
      </c>
      <c r="E363" s="2" t="s">
        <v>25</v>
      </c>
      <c r="F363" s="2">
        <v>4</v>
      </c>
      <c r="G363" s="2">
        <v>3900.95</v>
      </c>
      <c r="H363" s="2">
        <v>15603.8</v>
      </c>
      <c r="I363" s="2">
        <v>12059.6</v>
      </c>
      <c r="J363" s="2">
        <v>3544.2</v>
      </c>
      <c r="K363" s="3">
        <v>45478</v>
      </c>
      <c r="L363" s="3">
        <v>45483</v>
      </c>
      <c r="M363" s="2" t="s">
        <v>123</v>
      </c>
      <c r="N363" s="2">
        <v>2</v>
      </c>
      <c r="O363" s="2" t="s">
        <v>235</v>
      </c>
      <c r="P363" s="25">
        <v>6</v>
      </c>
      <c r="Q363" t="str">
        <f t="shared" si="46"/>
        <v>0362</v>
      </c>
      <c r="R363" t="str">
        <f>IF('RETAIL SALES DATA.'!H363&gt;AVERAGE('RETAIL SALES DATA.'!H363:H1362),"HIGHEST VALUE","LOWEST VALUE")</f>
        <v>LOWEST VALUE</v>
      </c>
      <c r="S363" t="str">
        <f t="shared" si="47"/>
        <v>Profit</v>
      </c>
      <c r="T363" t="str">
        <f t="shared" si="48"/>
        <v>John Baker</v>
      </c>
      <c r="U363" t="str">
        <f t="shared" si="49"/>
        <v>Table</v>
      </c>
      <c r="V363">
        <f t="shared" si="50"/>
        <v>2024</v>
      </c>
      <c r="W363">
        <f t="shared" si="51"/>
        <v>7</v>
      </c>
      <c r="X363">
        <f t="shared" si="52"/>
        <v>5</v>
      </c>
      <c r="Y363" t="str">
        <f t="shared" si="53"/>
        <v>Jul</v>
      </c>
      <c r="Z363">
        <f t="shared" si="54"/>
        <v>5</v>
      </c>
    </row>
    <row r="364" spans="1:26" ht="15.75" customHeight="1" x14ac:dyDescent="0.3">
      <c r="A364" s="2" t="s">
        <v>966</v>
      </c>
      <c r="B364" s="2" t="s">
        <v>967</v>
      </c>
      <c r="C364" s="2" t="s">
        <v>168</v>
      </c>
      <c r="D364" s="2" t="s">
        <v>43</v>
      </c>
      <c r="E364" s="2" t="s">
        <v>44</v>
      </c>
      <c r="F364" s="2">
        <v>7</v>
      </c>
      <c r="G364" s="2">
        <v>3817.66</v>
      </c>
      <c r="H364" s="2">
        <v>26723.62</v>
      </c>
      <c r="I364" s="2">
        <v>21045.599999999999</v>
      </c>
      <c r="J364" s="2">
        <v>5678.02</v>
      </c>
      <c r="K364" s="3">
        <v>45499</v>
      </c>
      <c r="L364" s="3">
        <v>45509</v>
      </c>
      <c r="M364" s="2" t="s">
        <v>26</v>
      </c>
      <c r="N364" s="2">
        <v>4</v>
      </c>
      <c r="O364" s="2" t="s">
        <v>904</v>
      </c>
      <c r="P364" s="25">
        <v>9.8000000000000007</v>
      </c>
      <c r="Q364" t="str">
        <f t="shared" si="46"/>
        <v>0363</v>
      </c>
      <c r="R364" t="str">
        <f>IF('RETAIL SALES DATA.'!H364&gt;AVERAGE('RETAIL SALES DATA.'!H364:H1363),"HIGHEST VALUE","LOWEST VALUE")</f>
        <v>HIGHEST VALUE</v>
      </c>
      <c r="S364" t="str">
        <f t="shared" si="47"/>
        <v>Profit</v>
      </c>
      <c r="T364" t="str">
        <f t="shared" si="48"/>
        <v>Shelley Wilson</v>
      </c>
      <c r="U364" t="str">
        <f t="shared" si="49"/>
        <v>Keyboard</v>
      </c>
      <c r="V364">
        <f t="shared" si="50"/>
        <v>2024</v>
      </c>
      <c r="W364">
        <f t="shared" si="51"/>
        <v>8</v>
      </c>
      <c r="X364">
        <f t="shared" si="52"/>
        <v>26</v>
      </c>
      <c r="Y364" t="str">
        <f t="shared" si="53"/>
        <v>Jul</v>
      </c>
      <c r="Z364">
        <f t="shared" si="54"/>
        <v>10</v>
      </c>
    </row>
    <row r="365" spans="1:26" ht="15.75" customHeight="1" x14ac:dyDescent="0.3">
      <c r="A365" s="2" t="s">
        <v>968</v>
      </c>
      <c r="B365" s="2" t="s">
        <v>969</v>
      </c>
      <c r="C365" s="2" t="s">
        <v>62</v>
      </c>
      <c r="D365" s="2" t="s">
        <v>31</v>
      </c>
      <c r="E365" s="2" t="s">
        <v>32</v>
      </c>
      <c r="F365" s="2">
        <v>3</v>
      </c>
      <c r="G365" s="2">
        <v>3960.15</v>
      </c>
      <c r="H365" s="2">
        <v>11880.45</v>
      </c>
      <c r="I365" s="2">
        <v>6548.39</v>
      </c>
      <c r="J365" s="2">
        <v>5332.06</v>
      </c>
      <c r="K365" s="3">
        <v>45953</v>
      </c>
      <c r="L365" s="3">
        <v>45963</v>
      </c>
      <c r="M365" s="2" t="s">
        <v>45</v>
      </c>
      <c r="N365" s="2">
        <v>5</v>
      </c>
      <c r="O365" s="2" t="s">
        <v>881</v>
      </c>
      <c r="P365" s="25">
        <v>9.8000000000000007</v>
      </c>
      <c r="Q365" t="str">
        <f t="shared" si="46"/>
        <v>0364</v>
      </c>
      <c r="R365" t="str">
        <f>IF('RETAIL SALES DATA.'!H365&gt;AVERAGE('RETAIL SALES DATA.'!H365:H1364),"HIGHEST VALUE","LOWEST VALUE")</f>
        <v>LOWEST VALUE</v>
      </c>
      <c r="S365" t="str">
        <f t="shared" si="47"/>
        <v>Profit</v>
      </c>
      <c r="T365" t="str">
        <f t="shared" si="48"/>
        <v>Zachary Lloyd</v>
      </c>
      <c r="U365" t="str">
        <f t="shared" si="49"/>
        <v>Table</v>
      </c>
      <c r="V365">
        <f t="shared" si="50"/>
        <v>2025</v>
      </c>
      <c r="W365">
        <f t="shared" si="51"/>
        <v>11</v>
      </c>
      <c r="X365">
        <f t="shared" si="52"/>
        <v>23</v>
      </c>
      <c r="Y365" t="str">
        <f t="shared" si="53"/>
        <v>Oct</v>
      </c>
      <c r="Z365">
        <f t="shared" si="54"/>
        <v>10</v>
      </c>
    </row>
    <row r="366" spans="1:26" ht="15.75" customHeight="1" x14ac:dyDescent="0.3">
      <c r="A366" s="2" t="s">
        <v>970</v>
      </c>
      <c r="B366" s="2" t="s">
        <v>971</v>
      </c>
      <c r="C366" s="2" t="s">
        <v>37</v>
      </c>
      <c r="D366" s="2" t="s">
        <v>19</v>
      </c>
      <c r="E366" s="2" t="s">
        <v>32</v>
      </c>
      <c r="F366" s="2">
        <v>13</v>
      </c>
      <c r="G366" s="2">
        <v>1830.26</v>
      </c>
      <c r="H366" s="2">
        <v>23793.38</v>
      </c>
      <c r="I366" s="2">
        <v>13438.62</v>
      </c>
      <c r="J366" s="2">
        <v>10354.76</v>
      </c>
      <c r="K366" s="3">
        <v>45816</v>
      </c>
      <c r="L366" s="3">
        <v>45822</v>
      </c>
      <c r="M366" s="2" t="s">
        <v>69</v>
      </c>
      <c r="N366" s="2">
        <v>1</v>
      </c>
      <c r="O366" s="2" t="s">
        <v>972</v>
      </c>
      <c r="P366" s="25">
        <v>7.6</v>
      </c>
      <c r="Q366" t="str">
        <f t="shared" si="46"/>
        <v>0365</v>
      </c>
      <c r="R366" t="str">
        <f>IF('RETAIL SALES DATA.'!H366&gt;AVERAGE('RETAIL SALES DATA.'!H366:H1365),"HIGHEST VALUE","LOWEST VALUE")</f>
        <v>LOWEST VALUE</v>
      </c>
      <c r="S366" t="str">
        <f t="shared" si="47"/>
        <v>Profit</v>
      </c>
      <c r="T366" t="str">
        <f t="shared" si="48"/>
        <v>Elizabeth Reyes</v>
      </c>
      <c r="U366" t="str">
        <f t="shared" si="49"/>
        <v>Marker</v>
      </c>
      <c r="V366">
        <f t="shared" si="50"/>
        <v>2025</v>
      </c>
      <c r="W366">
        <f t="shared" si="51"/>
        <v>6</v>
      </c>
      <c r="X366">
        <f t="shared" si="52"/>
        <v>8</v>
      </c>
      <c r="Y366" t="str">
        <f t="shared" si="53"/>
        <v>Jun</v>
      </c>
      <c r="Z366">
        <f t="shared" si="54"/>
        <v>6</v>
      </c>
    </row>
    <row r="367" spans="1:26" ht="15.75" customHeight="1" x14ac:dyDescent="0.3">
      <c r="A367" s="2" t="s">
        <v>973</v>
      </c>
      <c r="B367" s="2" t="s">
        <v>974</v>
      </c>
      <c r="C367" s="2" t="s">
        <v>62</v>
      </c>
      <c r="D367" s="2" t="s">
        <v>31</v>
      </c>
      <c r="E367" s="2" t="s">
        <v>25</v>
      </c>
      <c r="F367" s="2">
        <v>5</v>
      </c>
      <c r="G367" s="2">
        <v>1537.11</v>
      </c>
      <c r="H367" s="2">
        <v>7685.55</v>
      </c>
      <c r="I367" s="2">
        <v>4207.62</v>
      </c>
      <c r="J367" s="2">
        <v>3477.93</v>
      </c>
      <c r="K367" s="3">
        <v>45985</v>
      </c>
      <c r="L367" s="3">
        <v>45994</v>
      </c>
      <c r="M367" s="2" t="s">
        <v>50</v>
      </c>
      <c r="N367" s="2">
        <v>2</v>
      </c>
      <c r="O367" s="2" t="s">
        <v>570</v>
      </c>
      <c r="P367" s="25">
        <v>9.3000000000000007</v>
      </c>
      <c r="Q367" t="str">
        <f t="shared" si="46"/>
        <v>0366</v>
      </c>
      <c r="R367" t="str">
        <f>IF('RETAIL SALES DATA.'!H367&gt;AVERAGE('RETAIL SALES DATA.'!H367:H1366),"HIGHEST VALUE","LOWEST VALUE")</f>
        <v>LOWEST VALUE</v>
      </c>
      <c r="S367" t="str">
        <f t="shared" si="47"/>
        <v>Profit</v>
      </c>
      <c r="T367" t="str">
        <f t="shared" si="48"/>
        <v>Megan Gutierrez</v>
      </c>
      <c r="U367" t="str">
        <f t="shared" si="49"/>
        <v>Table</v>
      </c>
      <c r="V367">
        <f t="shared" si="50"/>
        <v>2025</v>
      </c>
      <c r="W367">
        <f t="shared" si="51"/>
        <v>12</v>
      </c>
      <c r="X367">
        <f t="shared" si="52"/>
        <v>24</v>
      </c>
      <c r="Y367" t="str">
        <f t="shared" si="53"/>
        <v>Nov</v>
      </c>
      <c r="Z367">
        <f t="shared" si="54"/>
        <v>9</v>
      </c>
    </row>
    <row r="368" spans="1:26" ht="15.75" customHeight="1" x14ac:dyDescent="0.3">
      <c r="A368" s="2" t="s">
        <v>975</v>
      </c>
      <c r="B368" s="2" t="s">
        <v>976</v>
      </c>
      <c r="C368" s="2" t="s">
        <v>195</v>
      </c>
      <c r="D368" s="2" t="s">
        <v>43</v>
      </c>
      <c r="E368" s="2" t="s">
        <v>32</v>
      </c>
      <c r="F368" s="2">
        <v>17</v>
      </c>
      <c r="G368" s="2">
        <v>4700.25</v>
      </c>
      <c r="H368" s="2">
        <v>79904.25</v>
      </c>
      <c r="I368" s="2">
        <v>44416.81</v>
      </c>
      <c r="J368" s="2">
        <v>35487.440000000002</v>
      </c>
      <c r="K368" s="3">
        <v>45479</v>
      </c>
      <c r="L368" s="3">
        <v>45486</v>
      </c>
      <c r="M368" s="2" t="s">
        <v>38</v>
      </c>
      <c r="N368" s="2">
        <v>4</v>
      </c>
      <c r="O368" s="2" t="s">
        <v>300</v>
      </c>
      <c r="P368" s="25">
        <v>7.2</v>
      </c>
      <c r="Q368" t="str">
        <f t="shared" si="46"/>
        <v>0367</v>
      </c>
      <c r="R368" t="str">
        <f>IF('RETAIL SALES DATA.'!H368&gt;AVERAGE('RETAIL SALES DATA.'!H368:H1367),"HIGHEST VALUE","LOWEST VALUE")</f>
        <v>HIGHEST VALUE</v>
      </c>
      <c r="S368" t="str">
        <f t="shared" si="47"/>
        <v>Profit</v>
      </c>
      <c r="T368" t="str">
        <f t="shared" si="48"/>
        <v>Charlene White</v>
      </c>
      <c r="U368" t="str">
        <f t="shared" si="49"/>
        <v>Monitor</v>
      </c>
      <c r="V368">
        <f t="shared" si="50"/>
        <v>2024</v>
      </c>
      <c r="W368">
        <f t="shared" si="51"/>
        <v>7</v>
      </c>
      <c r="X368">
        <f t="shared" si="52"/>
        <v>6</v>
      </c>
      <c r="Y368" t="str">
        <f t="shared" si="53"/>
        <v>Jul</v>
      </c>
      <c r="Z368">
        <f t="shared" si="54"/>
        <v>7</v>
      </c>
    </row>
    <row r="369" spans="1:26" ht="15.75" customHeight="1" x14ac:dyDescent="0.3">
      <c r="A369" s="2" t="s">
        <v>977</v>
      </c>
      <c r="B369" s="2" t="s">
        <v>978</v>
      </c>
      <c r="C369" s="2" t="s">
        <v>42</v>
      </c>
      <c r="D369" s="2" t="s">
        <v>43</v>
      </c>
      <c r="E369" s="2" t="s">
        <v>32</v>
      </c>
      <c r="F369" s="2">
        <v>13</v>
      </c>
      <c r="G369" s="2">
        <v>515.26</v>
      </c>
      <c r="H369" s="2">
        <v>6698.38</v>
      </c>
      <c r="I369" s="2">
        <v>5535.7</v>
      </c>
      <c r="J369" s="2">
        <v>1162.68</v>
      </c>
      <c r="K369" s="3">
        <v>45770</v>
      </c>
      <c r="L369" s="3">
        <v>45778</v>
      </c>
      <c r="M369" s="2" t="s">
        <v>38</v>
      </c>
      <c r="N369" s="2">
        <v>5</v>
      </c>
      <c r="O369" s="2" t="s">
        <v>888</v>
      </c>
      <c r="P369" s="25">
        <v>7.3</v>
      </c>
      <c r="Q369" t="str">
        <f t="shared" si="46"/>
        <v>0368</v>
      </c>
      <c r="R369" t="str">
        <f>IF('RETAIL SALES DATA.'!H369&gt;AVERAGE('RETAIL SALES DATA.'!H369:H1368),"HIGHEST VALUE","LOWEST VALUE")</f>
        <v>LOWEST VALUE</v>
      </c>
      <c r="S369" t="str">
        <f t="shared" si="47"/>
        <v>Profit</v>
      </c>
      <c r="T369" t="str">
        <f t="shared" si="48"/>
        <v>Terri Ochoa</v>
      </c>
      <c r="U369" t="str">
        <f t="shared" si="49"/>
        <v>Laptop</v>
      </c>
      <c r="V369">
        <f t="shared" si="50"/>
        <v>2025</v>
      </c>
      <c r="W369">
        <f t="shared" si="51"/>
        <v>5</v>
      </c>
      <c r="X369">
        <f t="shared" si="52"/>
        <v>23</v>
      </c>
      <c r="Y369" t="str">
        <f t="shared" si="53"/>
        <v>Apr</v>
      </c>
      <c r="Z369">
        <f t="shared" si="54"/>
        <v>8</v>
      </c>
    </row>
    <row r="370" spans="1:26" ht="15.75" customHeight="1" x14ac:dyDescent="0.3">
      <c r="A370" s="2" t="s">
        <v>979</v>
      </c>
      <c r="B370" s="2" t="s">
        <v>980</v>
      </c>
      <c r="C370" s="2" t="s">
        <v>219</v>
      </c>
      <c r="D370" s="2" t="s">
        <v>43</v>
      </c>
      <c r="E370" s="2" t="s">
        <v>44</v>
      </c>
      <c r="F370" s="2">
        <v>2</v>
      </c>
      <c r="G370" s="2">
        <v>1890.94</v>
      </c>
      <c r="H370" s="2">
        <v>3781.88</v>
      </c>
      <c r="I370" s="2">
        <v>2565.6</v>
      </c>
      <c r="J370" s="2">
        <v>1216.28</v>
      </c>
      <c r="K370" s="3">
        <v>45519</v>
      </c>
      <c r="L370" s="3">
        <v>45528</v>
      </c>
      <c r="M370" s="2" t="s">
        <v>58</v>
      </c>
      <c r="N370" s="2">
        <v>2</v>
      </c>
      <c r="O370" s="2" t="s">
        <v>114</v>
      </c>
      <c r="P370" s="25">
        <v>9.6</v>
      </c>
      <c r="Q370" t="str">
        <f t="shared" si="46"/>
        <v>0369</v>
      </c>
      <c r="R370" t="str">
        <f>IF('RETAIL SALES DATA.'!H370&gt;AVERAGE('RETAIL SALES DATA.'!H370:H1369),"HIGHEST VALUE","LOWEST VALUE")</f>
        <v>LOWEST VALUE</v>
      </c>
      <c r="S370" t="str">
        <f t="shared" si="47"/>
        <v>Profit</v>
      </c>
      <c r="T370" t="str">
        <f t="shared" si="48"/>
        <v>Patricia Davis</v>
      </c>
      <c r="U370" t="str">
        <f t="shared" si="49"/>
        <v>Smartphone</v>
      </c>
      <c r="V370">
        <f t="shared" si="50"/>
        <v>2024</v>
      </c>
      <c r="W370">
        <f t="shared" si="51"/>
        <v>8</v>
      </c>
      <c r="X370">
        <f t="shared" si="52"/>
        <v>15</v>
      </c>
      <c r="Y370" t="str">
        <f t="shared" si="53"/>
        <v>Aug</v>
      </c>
      <c r="Z370">
        <f t="shared" si="54"/>
        <v>9</v>
      </c>
    </row>
    <row r="371" spans="1:26" ht="15.75" customHeight="1" x14ac:dyDescent="0.3">
      <c r="A371" s="2" t="s">
        <v>981</v>
      </c>
      <c r="B371" s="2" t="s">
        <v>982</v>
      </c>
      <c r="C371" s="2" t="s">
        <v>42</v>
      </c>
      <c r="D371" s="2" t="s">
        <v>43</v>
      </c>
      <c r="E371" s="2" t="s">
        <v>44</v>
      </c>
      <c r="F371" s="2">
        <v>17</v>
      </c>
      <c r="G371" s="2">
        <v>268.93</v>
      </c>
      <c r="H371" s="2">
        <v>4571.8100000000004</v>
      </c>
      <c r="I371" s="2">
        <v>3032.87</v>
      </c>
      <c r="J371" s="2">
        <v>1538.94</v>
      </c>
      <c r="K371" s="3">
        <v>45784</v>
      </c>
      <c r="L371" s="3">
        <v>45792</v>
      </c>
      <c r="M371" s="2" t="s">
        <v>181</v>
      </c>
      <c r="N371" s="2">
        <v>4</v>
      </c>
      <c r="O371" s="2" t="s">
        <v>184</v>
      </c>
      <c r="P371" s="25">
        <v>6.4</v>
      </c>
      <c r="Q371" t="str">
        <f t="shared" si="46"/>
        <v>0370</v>
      </c>
      <c r="R371" t="str">
        <f>IF('RETAIL SALES DATA.'!H371&gt;AVERAGE('RETAIL SALES DATA.'!H371:H1370),"HIGHEST VALUE","LOWEST VALUE")</f>
        <v>LOWEST VALUE</v>
      </c>
      <c r="S371" t="str">
        <f t="shared" si="47"/>
        <v>Profit</v>
      </c>
      <c r="T371" t="str">
        <f t="shared" si="48"/>
        <v>Justin Ramirez</v>
      </c>
      <c r="U371" t="str">
        <f t="shared" si="49"/>
        <v>Laptop</v>
      </c>
      <c r="V371">
        <f t="shared" si="50"/>
        <v>2025</v>
      </c>
      <c r="W371">
        <f t="shared" si="51"/>
        <v>5</v>
      </c>
      <c r="X371">
        <f t="shared" si="52"/>
        <v>7</v>
      </c>
      <c r="Y371" t="str">
        <f t="shared" si="53"/>
        <v>May</v>
      </c>
      <c r="Z371">
        <f t="shared" si="54"/>
        <v>8</v>
      </c>
    </row>
    <row r="372" spans="1:26" ht="15.75" customHeight="1" x14ac:dyDescent="0.3">
      <c r="A372" s="2" t="s">
        <v>983</v>
      </c>
      <c r="B372" s="2" t="s">
        <v>984</v>
      </c>
      <c r="C372" s="2" t="s">
        <v>95</v>
      </c>
      <c r="D372" s="2" t="s">
        <v>19</v>
      </c>
      <c r="E372" s="2" t="s">
        <v>25</v>
      </c>
      <c r="F372" s="2">
        <v>10</v>
      </c>
      <c r="G372" s="2">
        <v>1340.2</v>
      </c>
      <c r="H372" s="2">
        <v>13402</v>
      </c>
      <c r="I372" s="2">
        <v>11647.82</v>
      </c>
      <c r="J372" s="2">
        <v>1754.18</v>
      </c>
      <c r="K372" s="3">
        <v>45450</v>
      </c>
      <c r="L372" s="3">
        <v>45452</v>
      </c>
      <c r="M372" s="2" t="s">
        <v>21</v>
      </c>
      <c r="N372" s="2">
        <v>3</v>
      </c>
      <c r="O372" s="2" t="s">
        <v>417</v>
      </c>
      <c r="P372" s="25">
        <v>8.8000000000000007</v>
      </c>
      <c r="Q372" t="str">
        <f t="shared" si="46"/>
        <v>0371</v>
      </c>
      <c r="R372" t="str">
        <f>IF('RETAIL SALES DATA.'!H372&gt;AVERAGE('RETAIL SALES DATA.'!H372:H1371),"HIGHEST VALUE","LOWEST VALUE")</f>
        <v>LOWEST VALUE</v>
      </c>
      <c r="S372" t="str">
        <f t="shared" si="47"/>
        <v>Profit</v>
      </c>
      <c r="T372" t="str">
        <f t="shared" si="48"/>
        <v>Robert Moses</v>
      </c>
      <c r="U372" t="str">
        <f t="shared" si="49"/>
        <v>Printer</v>
      </c>
      <c r="V372">
        <f t="shared" si="50"/>
        <v>2024</v>
      </c>
      <c r="W372">
        <f t="shared" si="51"/>
        <v>6</v>
      </c>
      <c r="X372">
        <f t="shared" si="52"/>
        <v>7</v>
      </c>
      <c r="Y372" t="str">
        <f t="shared" si="53"/>
        <v>Jun</v>
      </c>
      <c r="Z372">
        <f t="shared" si="54"/>
        <v>2</v>
      </c>
    </row>
    <row r="373" spans="1:26" ht="15.75" customHeight="1" x14ac:dyDescent="0.3">
      <c r="A373" s="2" t="s">
        <v>985</v>
      </c>
      <c r="B373" s="2" t="s">
        <v>986</v>
      </c>
      <c r="C373" s="2" t="s">
        <v>219</v>
      </c>
      <c r="D373" s="2" t="s">
        <v>43</v>
      </c>
      <c r="E373" s="2" t="s">
        <v>32</v>
      </c>
      <c r="F373" s="2">
        <v>3</v>
      </c>
      <c r="G373" s="2">
        <v>4826.72</v>
      </c>
      <c r="H373" s="2">
        <v>14480.16</v>
      </c>
      <c r="I373" s="2">
        <v>11189.93</v>
      </c>
      <c r="J373" s="2">
        <v>3290.23</v>
      </c>
      <c r="K373" s="3">
        <v>46000</v>
      </c>
      <c r="L373" s="3">
        <v>46003</v>
      </c>
      <c r="M373" s="2" t="s">
        <v>21</v>
      </c>
      <c r="N373" s="2">
        <v>3</v>
      </c>
      <c r="O373" s="2" t="s">
        <v>715</v>
      </c>
      <c r="P373" s="25">
        <v>7.9</v>
      </c>
      <c r="Q373" t="str">
        <f t="shared" si="46"/>
        <v>0372</v>
      </c>
      <c r="R373" t="str">
        <f>IF('RETAIL SALES DATA.'!H373&gt;AVERAGE('RETAIL SALES DATA.'!H373:H1372),"HIGHEST VALUE","LOWEST VALUE")</f>
        <v>LOWEST VALUE</v>
      </c>
      <c r="S373" t="str">
        <f t="shared" si="47"/>
        <v>Profit</v>
      </c>
      <c r="T373" t="str">
        <f t="shared" si="48"/>
        <v>Jenny Jones</v>
      </c>
      <c r="U373" t="str">
        <f t="shared" si="49"/>
        <v>Smartphone</v>
      </c>
      <c r="V373">
        <f t="shared" si="50"/>
        <v>2025</v>
      </c>
      <c r="W373">
        <f t="shared" si="51"/>
        <v>12</v>
      </c>
      <c r="X373">
        <f t="shared" si="52"/>
        <v>9</v>
      </c>
      <c r="Y373" t="str">
        <f t="shared" si="53"/>
        <v>Dec</v>
      </c>
      <c r="Z373">
        <f t="shared" si="54"/>
        <v>3</v>
      </c>
    </row>
    <row r="374" spans="1:26" ht="15.75" customHeight="1" x14ac:dyDescent="0.3">
      <c r="A374" s="2" t="s">
        <v>987</v>
      </c>
      <c r="B374" s="2" t="s">
        <v>988</v>
      </c>
      <c r="C374" s="2" t="s">
        <v>42</v>
      </c>
      <c r="D374" s="2" t="s">
        <v>43</v>
      </c>
      <c r="E374" s="2" t="s">
        <v>32</v>
      </c>
      <c r="F374" s="2">
        <v>13</v>
      </c>
      <c r="G374" s="2">
        <v>4318.68</v>
      </c>
      <c r="H374" s="2">
        <v>56142.84</v>
      </c>
      <c r="I374" s="2">
        <v>30876.03</v>
      </c>
      <c r="J374" s="2">
        <v>25266.81</v>
      </c>
      <c r="K374" s="3">
        <v>45561</v>
      </c>
      <c r="L374" s="3">
        <v>45563</v>
      </c>
      <c r="M374" s="2" t="s">
        <v>50</v>
      </c>
      <c r="N374" s="2">
        <v>5</v>
      </c>
      <c r="O374" s="2" t="s">
        <v>548</v>
      </c>
      <c r="P374" s="25">
        <v>7.4</v>
      </c>
      <c r="Q374" t="str">
        <f t="shared" si="46"/>
        <v>0373</v>
      </c>
      <c r="R374" t="str">
        <f>IF('RETAIL SALES DATA.'!H374&gt;AVERAGE('RETAIL SALES DATA.'!H374:H1373),"HIGHEST VALUE","LOWEST VALUE")</f>
        <v>HIGHEST VALUE</v>
      </c>
      <c r="S374" t="str">
        <f t="shared" si="47"/>
        <v>Profit</v>
      </c>
      <c r="T374" t="str">
        <f t="shared" si="48"/>
        <v>Sarah Wang</v>
      </c>
      <c r="U374" t="str">
        <f t="shared" si="49"/>
        <v>Laptop</v>
      </c>
      <c r="V374">
        <f t="shared" si="50"/>
        <v>2024</v>
      </c>
      <c r="W374">
        <f t="shared" si="51"/>
        <v>9</v>
      </c>
      <c r="X374">
        <f t="shared" si="52"/>
        <v>26</v>
      </c>
      <c r="Y374" t="str">
        <f t="shared" si="53"/>
        <v>Sep</v>
      </c>
      <c r="Z374">
        <f t="shared" si="54"/>
        <v>2</v>
      </c>
    </row>
    <row r="375" spans="1:26" ht="15.75" customHeight="1" x14ac:dyDescent="0.3">
      <c r="A375" s="2" t="s">
        <v>989</v>
      </c>
      <c r="B375" s="2" t="s">
        <v>990</v>
      </c>
      <c r="C375" s="2" t="s">
        <v>139</v>
      </c>
      <c r="D375" s="2" t="s">
        <v>31</v>
      </c>
      <c r="E375" s="2" t="s">
        <v>32</v>
      </c>
      <c r="F375" s="2">
        <v>19</v>
      </c>
      <c r="G375" s="2">
        <v>1352.46</v>
      </c>
      <c r="H375" s="2">
        <v>25696.74</v>
      </c>
      <c r="I375" s="2">
        <v>16199.19</v>
      </c>
      <c r="J375" s="2">
        <v>9497.5499999999993</v>
      </c>
      <c r="K375" s="3">
        <v>45946</v>
      </c>
      <c r="L375" s="3">
        <v>45950</v>
      </c>
      <c r="M375" s="2" t="s">
        <v>69</v>
      </c>
      <c r="N375" s="2">
        <v>2</v>
      </c>
      <c r="O375" s="2" t="s">
        <v>375</v>
      </c>
      <c r="P375" s="25">
        <v>9.9</v>
      </c>
      <c r="Q375" t="str">
        <f t="shared" si="46"/>
        <v>0374</v>
      </c>
      <c r="R375" t="str">
        <f>IF('RETAIL SALES DATA.'!H375&gt;AVERAGE('RETAIL SALES DATA.'!H375:H1374),"HIGHEST VALUE","LOWEST VALUE")</f>
        <v>LOWEST VALUE</v>
      </c>
      <c r="S375" t="str">
        <f t="shared" si="47"/>
        <v>Profit</v>
      </c>
      <c r="T375" t="str">
        <f t="shared" si="48"/>
        <v>Michelle Flowers</v>
      </c>
      <c r="U375" t="str">
        <f t="shared" si="49"/>
        <v>Sofa</v>
      </c>
      <c r="V375">
        <f t="shared" si="50"/>
        <v>2025</v>
      </c>
      <c r="W375">
        <f t="shared" si="51"/>
        <v>10</v>
      </c>
      <c r="X375">
        <f t="shared" si="52"/>
        <v>16</v>
      </c>
      <c r="Y375" t="str">
        <f t="shared" si="53"/>
        <v>Oct</v>
      </c>
      <c r="Z375">
        <f t="shared" si="54"/>
        <v>4</v>
      </c>
    </row>
    <row r="376" spans="1:26" ht="15.75" customHeight="1" x14ac:dyDescent="0.3">
      <c r="A376" s="2" t="s">
        <v>991</v>
      </c>
      <c r="B376" s="2" t="s">
        <v>992</v>
      </c>
      <c r="C376" s="2" t="s">
        <v>57</v>
      </c>
      <c r="D376" s="2" t="s">
        <v>19</v>
      </c>
      <c r="E376" s="2" t="s">
        <v>32</v>
      </c>
      <c r="F376" s="2">
        <v>11</v>
      </c>
      <c r="G376" s="2">
        <v>2715.31</v>
      </c>
      <c r="H376" s="2">
        <v>29868.41</v>
      </c>
      <c r="I376" s="2">
        <v>20323.439999999999</v>
      </c>
      <c r="J376" s="2">
        <v>9544.9699999999993</v>
      </c>
      <c r="K376" s="3">
        <v>46059</v>
      </c>
      <c r="L376" s="3">
        <v>46068</v>
      </c>
      <c r="M376" s="2" t="s">
        <v>123</v>
      </c>
      <c r="N376" s="2">
        <v>5</v>
      </c>
      <c r="O376" s="2" t="s">
        <v>993</v>
      </c>
      <c r="P376" s="25">
        <v>9.3000000000000007</v>
      </c>
      <c r="Q376" t="str">
        <f t="shared" si="46"/>
        <v>0375</v>
      </c>
      <c r="R376" t="str">
        <f>IF('RETAIL SALES DATA.'!H376&gt;AVERAGE('RETAIL SALES DATA.'!H376:H1375),"HIGHEST VALUE","LOWEST VALUE")</f>
        <v>HIGHEST VALUE</v>
      </c>
      <c r="S376" t="str">
        <f t="shared" si="47"/>
        <v>Profit</v>
      </c>
      <c r="T376" t="str">
        <f t="shared" si="48"/>
        <v>Anthony Klein</v>
      </c>
      <c r="U376" t="str">
        <f t="shared" si="49"/>
        <v>Notebook</v>
      </c>
      <c r="V376">
        <f t="shared" si="50"/>
        <v>2026</v>
      </c>
      <c r="W376">
        <f t="shared" si="51"/>
        <v>2</v>
      </c>
      <c r="X376">
        <f t="shared" si="52"/>
        <v>6</v>
      </c>
      <c r="Y376" t="str">
        <f t="shared" si="53"/>
        <v>Feb</v>
      </c>
      <c r="Z376">
        <f t="shared" si="54"/>
        <v>9</v>
      </c>
    </row>
    <row r="377" spans="1:26" ht="15.75" customHeight="1" x14ac:dyDescent="0.3">
      <c r="A377" s="2" t="s">
        <v>994</v>
      </c>
      <c r="B377" s="2" t="s">
        <v>995</v>
      </c>
      <c r="C377" s="2" t="s">
        <v>144</v>
      </c>
      <c r="D377" s="2" t="s">
        <v>19</v>
      </c>
      <c r="E377" s="2" t="s">
        <v>20</v>
      </c>
      <c r="F377" s="2">
        <v>17</v>
      </c>
      <c r="G377" s="2">
        <v>3169.26</v>
      </c>
      <c r="H377" s="2">
        <v>53877.42</v>
      </c>
      <c r="I377" s="2">
        <v>27203.91</v>
      </c>
      <c r="J377" s="2">
        <v>26673.51</v>
      </c>
      <c r="K377" s="3">
        <v>46050</v>
      </c>
      <c r="L377" s="3">
        <v>46059</v>
      </c>
      <c r="M377" s="2" t="s">
        <v>69</v>
      </c>
      <c r="N377" s="2">
        <v>3</v>
      </c>
      <c r="O377" s="2" t="s">
        <v>89</v>
      </c>
      <c r="P377" s="25">
        <v>8.3000000000000007</v>
      </c>
      <c r="Q377" t="str">
        <f t="shared" si="46"/>
        <v>0376</v>
      </c>
      <c r="R377" t="str">
        <f>IF('RETAIL SALES DATA.'!H377&gt;AVERAGE('RETAIL SALES DATA.'!H377:H1376),"HIGHEST VALUE","LOWEST VALUE")</f>
        <v>HIGHEST VALUE</v>
      </c>
      <c r="S377" t="str">
        <f t="shared" si="47"/>
        <v>Profit</v>
      </c>
      <c r="T377" t="str">
        <f t="shared" si="48"/>
        <v>James Johnson</v>
      </c>
      <c r="U377" t="str">
        <f t="shared" si="49"/>
        <v>File</v>
      </c>
      <c r="V377">
        <f t="shared" si="50"/>
        <v>2026</v>
      </c>
      <c r="W377">
        <f t="shared" si="51"/>
        <v>2</v>
      </c>
      <c r="X377">
        <f t="shared" si="52"/>
        <v>28</v>
      </c>
      <c r="Y377" t="str">
        <f t="shared" si="53"/>
        <v>Jan</v>
      </c>
      <c r="Z377">
        <f t="shared" si="54"/>
        <v>9</v>
      </c>
    </row>
    <row r="378" spans="1:26" ht="15.75" customHeight="1" x14ac:dyDescent="0.3">
      <c r="A378" s="2" t="s">
        <v>996</v>
      </c>
      <c r="B378" s="2" t="s">
        <v>997</v>
      </c>
      <c r="C378" s="2" t="s">
        <v>95</v>
      </c>
      <c r="D378" s="2" t="s">
        <v>19</v>
      </c>
      <c r="E378" s="2" t="s">
        <v>20</v>
      </c>
      <c r="F378" s="2">
        <v>17</v>
      </c>
      <c r="G378" s="2">
        <v>1411.98</v>
      </c>
      <c r="H378" s="2">
        <v>24003.66</v>
      </c>
      <c r="I378" s="2">
        <v>12418.23</v>
      </c>
      <c r="J378" s="2">
        <v>11585.43</v>
      </c>
      <c r="K378" s="3">
        <v>45574</v>
      </c>
      <c r="L378" s="3">
        <v>45577</v>
      </c>
      <c r="M378" s="2" t="s">
        <v>21</v>
      </c>
      <c r="N378" s="2">
        <v>3</v>
      </c>
      <c r="O378" s="2" t="s">
        <v>998</v>
      </c>
      <c r="P378" s="25">
        <v>7.3</v>
      </c>
      <c r="Q378" t="str">
        <f t="shared" si="46"/>
        <v>0377</v>
      </c>
      <c r="R378" t="str">
        <f>IF('RETAIL SALES DATA.'!H378&gt;AVERAGE('RETAIL SALES DATA.'!H378:H1377),"HIGHEST VALUE","LOWEST VALUE")</f>
        <v>LOWEST VALUE</v>
      </c>
      <c r="S378" t="str">
        <f t="shared" si="47"/>
        <v>Profit</v>
      </c>
      <c r="T378" t="str">
        <f t="shared" si="48"/>
        <v>Rebecca Hill</v>
      </c>
      <c r="U378" t="str">
        <f t="shared" si="49"/>
        <v>Printer</v>
      </c>
      <c r="V378">
        <f t="shared" si="50"/>
        <v>2024</v>
      </c>
      <c r="W378">
        <f t="shared" si="51"/>
        <v>10</v>
      </c>
      <c r="X378">
        <f t="shared" si="52"/>
        <v>9</v>
      </c>
      <c r="Y378" t="str">
        <f t="shared" si="53"/>
        <v>Oct</v>
      </c>
      <c r="Z378">
        <f t="shared" si="54"/>
        <v>3</v>
      </c>
    </row>
    <row r="379" spans="1:26" ht="15.75" customHeight="1" x14ac:dyDescent="0.3">
      <c r="A379" s="2" t="s">
        <v>999</v>
      </c>
      <c r="B379" s="2" t="s">
        <v>1000</v>
      </c>
      <c r="C379" s="2" t="s">
        <v>49</v>
      </c>
      <c r="D379" s="2" t="s">
        <v>43</v>
      </c>
      <c r="E379" s="2" t="s">
        <v>44</v>
      </c>
      <c r="F379" s="2">
        <v>1</v>
      </c>
      <c r="G379" s="2">
        <v>2378.15</v>
      </c>
      <c r="H379" s="2">
        <v>2378.15</v>
      </c>
      <c r="I379" s="2">
        <v>2066.6799999999998</v>
      </c>
      <c r="J379" s="2">
        <v>311.47000000000003</v>
      </c>
      <c r="K379" s="3">
        <v>45681</v>
      </c>
      <c r="L379" s="3">
        <v>45690</v>
      </c>
      <c r="M379" s="2" t="s">
        <v>26</v>
      </c>
      <c r="N379" s="2">
        <v>3</v>
      </c>
      <c r="O379" s="2" t="s">
        <v>208</v>
      </c>
      <c r="P379" s="25">
        <v>8.5</v>
      </c>
      <c r="Q379" t="str">
        <f t="shared" si="46"/>
        <v>0378</v>
      </c>
      <c r="R379" t="str">
        <f>IF('RETAIL SALES DATA.'!H379&gt;AVERAGE('RETAIL SALES DATA.'!H379:H1378),"HIGHEST VALUE","LOWEST VALUE")</f>
        <v>LOWEST VALUE</v>
      </c>
      <c r="S379" t="str">
        <f t="shared" si="47"/>
        <v>Profit</v>
      </c>
      <c r="T379" t="str">
        <f t="shared" si="48"/>
        <v>Lori Yang</v>
      </c>
      <c r="U379" t="str">
        <f t="shared" si="49"/>
        <v>Mouse</v>
      </c>
      <c r="V379">
        <f t="shared" si="50"/>
        <v>2025</v>
      </c>
      <c r="W379">
        <f t="shared" si="51"/>
        <v>2</v>
      </c>
      <c r="X379">
        <f t="shared" si="52"/>
        <v>24</v>
      </c>
      <c r="Y379" t="str">
        <f t="shared" si="53"/>
        <v>Jan</v>
      </c>
      <c r="Z379">
        <f t="shared" si="54"/>
        <v>9</v>
      </c>
    </row>
    <row r="380" spans="1:26" ht="15.75" customHeight="1" x14ac:dyDescent="0.3">
      <c r="A380" s="2" t="s">
        <v>1001</v>
      </c>
      <c r="B380" s="2" t="s">
        <v>1002</v>
      </c>
      <c r="C380" s="2" t="s">
        <v>18</v>
      </c>
      <c r="D380" s="2" t="s">
        <v>19</v>
      </c>
      <c r="E380" s="2" t="s">
        <v>25</v>
      </c>
      <c r="F380" s="2">
        <v>4</v>
      </c>
      <c r="G380" s="2">
        <v>2198.4499999999998</v>
      </c>
      <c r="H380" s="2">
        <v>8793.7999999999993</v>
      </c>
      <c r="I380" s="2">
        <v>7510.01</v>
      </c>
      <c r="J380" s="2">
        <v>1283.79</v>
      </c>
      <c r="K380" s="3">
        <v>45580</v>
      </c>
      <c r="L380" s="3">
        <v>45584</v>
      </c>
      <c r="M380" s="2" t="s">
        <v>58</v>
      </c>
      <c r="N380" s="2">
        <v>5</v>
      </c>
      <c r="O380" s="2" t="s">
        <v>475</v>
      </c>
      <c r="P380" s="25">
        <v>8.1999999999999993</v>
      </c>
      <c r="Q380" t="str">
        <f t="shared" si="46"/>
        <v>0379</v>
      </c>
      <c r="R380" t="str">
        <f>IF('RETAIL SALES DATA.'!H380&gt;AVERAGE('RETAIL SALES DATA.'!H380:H1379),"HIGHEST VALUE","LOWEST VALUE")</f>
        <v>LOWEST VALUE</v>
      </c>
      <c r="S380" t="str">
        <f t="shared" si="47"/>
        <v>Profit</v>
      </c>
      <c r="T380" t="str">
        <f t="shared" si="48"/>
        <v>Michael Stewart</v>
      </c>
      <c r="U380" t="str">
        <f t="shared" si="49"/>
        <v>Pen</v>
      </c>
      <c r="V380">
        <f t="shared" si="50"/>
        <v>2024</v>
      </c>
      <c r="W380">
        <f t="shared" si="51"/>
        <v>10</v>
      </c>
      <c r="X380">
        <f t="shared" si="52"/>
        <v>15</v>
      </c>
      <c r="Y380" t="str">
        <f t="shared" si="53"/>
        <v>Oct</v>
      </c>
      <c r="Z380">
        <f t="shared" si="54"/>
        <v>4</v>
      </c>
    </row>
    <row r="381" spans="1:26" ht="15.75" customHeight="1" x14ac:dyDescent="0.3">
      <c r="A381" s="2" t="s">
        <v>1003</v>
      </c>
      <c r="B381" s="2" t="s">
        <v>1004</v>
      </c>
      <c r="C381" s="2" t="s">
        <v>62</v>
      </c>
      <c r="D381" s="2" t="s">
        <v>31</v>
      </c>
      <c r="E381" s="2" t="s">
        <v>25</v>
      </c>
      <c r="F381" s="2">
        <v>12</v>
      </c>
      <c r="G381" s="2">
        <v>723.31</v>
      </c>
      <c r="H381" s="2">
        <v>8679.7199999999993</v>
      </c>
      <c r="I381" s="2">
        <v>7599.2</v>
      </c>
      <c r="J381" s="2">
        <v>1080.52</v>
      </c>
      <c r="K381" s="3">
        <v>45556</v>
      </c>
      <c r="L381" s="3">
        <v>45566</v>
      </c>
      <c r="M381" s="2" t="s">
        <v>69</v>
      </c>
      <c r="N381" s="2">
        <v>4</v>
      </c>
      <c r="O381" s="2" t="s">
        <v>683</v>
      </c>
      <c r="P381" s="25">
        <v>7.5</v>
      </c>
      <c r="Q381" t="str">
        <f t="shared" si="46"/>
        <v>0380</v>
      </c>
      <c r="R381" t="str">
        <f>IF('RETAIL SALES DATA.'!H381&gt;AVERAGE('RETAIL SALES DATA.'!H381:H1380),"HIGHEST VALUE","LOWEST VALUE")</f>
        <v>LOWEST VALUE</v>
      </c>
      <c r="S381" t="str">
        <f t="shared" si="47"/>
        <v>Profit</v>
      </c>
      <c r="T381" t="str">
        <f t="shared" si="48"/>
        <v>Kimberly Rocha</v>
      </c>
      <c r="U381" t="str">
        <f t="shared" si="49"/>
        <v>Table</v>
      </c>
      <c r="V381">
        <f t="shared" si="50"/>
        <v>2024</v>
      </c>
      <c r="W381">
        <f t="shared" si="51"/>
        <v>10</v>
      </c>
      <c r="X381">
        <f t="shared" si="52"/>
        <v>21</v>
      </c>
      <c r="Y381" t="str">
        <f t="shared" si="53"/>
        <v>Sep</v>
      </c>
      <c r="Z381">
        <f t="shared" si="54"/>
        <v>10</v>
      </c>
    </row>
    <row r="382" spans="1:26" ht="15.75" customHeight="1" x14ac:dyDescent="0.3">
      <c r="A382" s="2" t="s">
        <v>1005</v>
      </c>
      <c r="B382" s="2" t="s">
        <v>1006</v>
      </c>
      <c r="C382" s="2" t="s">
        <v>88</v>
      </c>
      <c r="D382" s="2" t="s">
        <v>31</v>
      </c>
      <c r="E382" s="2" t="s">
        <v>20</v>
      </c>
      <c r="F382" s="2">
        <v>3</v>
      </c>
      <c r="G382" s="2">
        <v>1754</v>
      </c>
      <c r="H382" s="2">
        <v>5262</v>
      </c>
      <c r="I382" s="2">
        <v>2803.72</v>
      </c>
      <c r="J382" s="2">
        <v>2458.2800000000002</v>
      </c>
      <c r="K382" s="3">
        <v>45833</v>
      </c>
      <c r="L382" s="3">
        <v>45836</v>
      </c>
      <c r="M382" s="2" t="s">
        <v>26</v>
      </c>
      <c r="N382" s="2">
        <v>1</v>
      </c>
      <c r="O382" s="2" t="s">
        <v>460</v>
      </c>
      <c r="P382" s="25">
        <v>8.5</v>
      </c>
      <c r="Q382" t="str">
        <f t="shared" si="46"/>
        <v>0381</v>
      </c>
      <c r="R382" t="str">
        <f>IF('RETAIL SALES DATA.'!H382&gt;AVERAGE('RETAIL SALES DATA.'!H382:H1381),"HIGHEST VALUE","LOWEST VALUE")</f>
        <v>LOWEST VALUE</v>
      </c>
      <c r="S382" t="str">
        <f t="shared" si="47"/>
        <v>Profit</v>
      </c>
      <c r="T382" t="str">
        <f t="shared" si="48"/>
        <v>Joseph Lopez</v>
      </c>
      <c r="U382" t="str">
        <f t="shared" si="49"/>
        <v>Cupboard</v>
      </c>
      <c r="V382">
        <f t="shared" si="50"/>
        <v>2025</v>
      </c>
      <c r="W382">
        <f t="shared" si="51"/>
        <v>6</v>
      </c>
      <c r="X382">
        <f t="shared" si="52"/>
        <v>25</v>
      </c>
      <c r="Y382" t="str">
        <f t="shared" si="53"/>
        <v>Jun</v>
      </c>
      <c r="Z382">
        <f t="shared" si="54"/>
        <v>3</v>
      </c>
    </row>
    <row r="383" spans="1:26" ht="15.75" customHeight="1" x14ac:dyDescent="0.3">
      <c r="A383" s="2" t="s">
        <v>1007</v>
      </c>
      <c r="B383" s="2" t="s">
        <v>1008</v>
      </c>
      <c r="C383" s="2" t="s">
        <v>88</v>
      </c>
      <c r="D383" s="2" t="s">
        <v>31</v>
      </c>
      <c r="E383" s="2" t="s">
        <v>44</v>
      </c>
      <c r="F383" s="2">
        <v>18</v>
      </c>
      <c r="G383" s="2">
        <v>4790.66</v>
      </c>
      <c r="H383" s="2">
        <v>86231.88</v>
      </c>
      <c r="I383" s="2">
        <v>45012.44</v>
      </c>
      <c r="J383" s="2">
        <v>41219.440000000002</v>
      </c>
      <c r="K383" s="3">
        <v>45689</v>
      </c>
      <c r="L383" s="3">
        <v>45691</v>
      </c>
      <c r="M383" s="2" t="s">
        <v>26</v>
      </c>
      <c r="N383" s="2">
        <v>4</v>
      </c>
      <c r="O383" s="2" t="s">
        <v>525</v>
      </c>
      <c r="P383" s="25">
        <v>7.9</v>
      </c>
      <c r="Q383" t="str">
        <f t="shared" si="46"/>
        <v>0382</v>
      </c>
      <c r="R383" t="str">
        <f>IF('RETAIL SALES DATA.'!H383&gt;AVERAGE('RETAIL SALES DATA.'!H383:H1382),"HIGHEST VALUE","LOWEST VALUE")</f>
        <v>HIGHEST VALUE</v>
      </c>
      <c r="S383" t="str">
        <f t="shared" si="47"/>
        <v>Profit</v>
      </c>
      <c r="T383" t="str">
        <f t="shared" si="48"/>
        <v>Daniel Freeman</v>
      </c>
      <c r="U383" t="str">
        <f t="shared" si="49"/>
        <v>Cupboard</v>
      </c>
      <c r="V383">
        <f t="shared" si="50"/>
        <v>2025</v>
      </c>
      <c r="W383">
        <f t="shared" si="51"/>
        <v>2</v>
      </c>
      <c r="X383">
        <f t="shared" si="52"/>
        <v>1</v>
      </c>
      <c r="Y383" t="str">
        <f t="shared" si="53"/>
        <v>Feb</v>
      </c>
      <c r="Z383">
        <f t="shared" si="54"/>
        <v>2</v>
      </c>
    </row>
    <row r="384" spans="1:26" ht="15.75" customHeight="1" x14ac:dyDescent="0.3">
      <c r="A384" s="2" t="s">
        <v>1009</v>
      </c>
      <c r="B384" s="2" t="s">
        <v>1010</v>
      </c>
      <c r="C384" s="2" t="s">
        <v>62</v>
      </c>
      <c r="D384" s="2" t="s">
        <v>31</v>
      </c>
      <c r="E384" s="2" t="s">
        <v>25</v>
      </c>
      <c r="F384" s="2">
        <v>11</v>
      </c>
      <c r="G384" s="2">
        <v>920.37</v>
      </c>
      <c r="H384" s="2">
        <v>10124.07</v>
      </c>
      <c r="I384" s="2">
        <v>7005.91</v>
      </c>
      <c r="J384" s="2">
        <v>3118.16</v>
      </c>
      <c r="K384" s="3">
        <v>45694</v>
      </c>
      <c r="L384" s="3">
        <v>45699</v>
      </c>
      <c r="M384" s="2" t="s">
        <v>45</v>
      </c>
      <c r="N384" s="2">
        <v>5</v>
      </c>
      <c r="O384" s="2" t="s">
        <v>22</v>
      </c>
      <c r="P384" s="25">
        <v>9.5</v>
      </c>
      <c r="Q384" t="str">
        <f t="shared" si="46"/>
        <v>0383</v>
      </c>
      <c r="R384" t="str">
        <f>IF('RETAIL SALES DATA.'!H384&gt;AVERAGE('RETAIL SALES DATA.'!H384:H1383),"HIGHEST VALUE","LOWEST VALUE")</f>
        <v>LOWEST VALUE</v>
      </c>
      <c r="S384" t="str">
        <f t="shared" si="47"/>
        <v>Profit</v>
      </c>
      <c r="T384" t="str">
        <f t="shared" si="48"/>
        <v>Sarah Jefferson</v>
      </c>
      <c r="U384" t="str">
        <f t="shared" si="49"/>
        <v>Table</v>
      </c>
      <c r="V384">
        <f t="shared" si="50"/>
        <v>2025</v>
      </c>
      <c r="W384">
        <f t="shared" si="51"/>
        <v>2</v>
      </c>
      <c r="X384">
        <f t="shared" si="52"/>
        <v>6</v>
      </c>
      <c r="Y384" t="str">
        <f t="shared" si="53"/>
        <v>Feb</v>
      </c>
      <c r="Z384">
        <f t="shared" si="54"/>
        <v>5</v>
      </c>
    </row>
    <row r="385" spans="1:26" ht="15.75" customHeight="1" x14ac:dyDescent="0.3">
      <c r="A385" s="2" t="s">
        <v>1011</v>
      </c>
      <c r="B385" s="2" t="s">
        <v>1012</v>
      </c>
      <c r="C385" s="2" t="s">
        <v>42</v>
      </c>
      <c r="D385" s="2" t="s">
        <v>43</v>
      </c>
      <c r="E385" s="2" t="s">
        <v>32</v>
      </c>
      <c r="F385" s="2">
        <v>6</v>
      </c>
      <c r="G385" s="2">
        <v>4528.8100000000004</v>
      </c>
      <c r="H385" s="2">
        <v>27172.86</v>
      </c>
      <c r="I385" s="2">
        <v>14974.17</v>
      </c>
      <c r="J385" s="2">
        <v>12198.69</v>
      </c>
      <c r="K385" s="3">
        <v>45910</v>
      </c>
      <c r="L385" s="3">
        <v>45911</v>
      </c>
      <c r="M385" s="2" t="s">
        <v>58</v>
      </c>
      <c r="N385" s="2">
        <v>2</v>
      </c>
      <c r="O385" s="2" t="s">
        <v>455</v>
      </c>
      <c r="P385" s="25">
        <v>6.9</v>
      </c>
      <c r="Q385" t="str">
        <f t="shared" si="46"/>
        <v>0384</v>
      </c>
      <c r="R385" t="str">
        <f>IF('RETAIL SALES DATA.'!H385&gt;AVERAGE('RETAIL SALES DATA.'!H385:H1384),"HIGHEST VALUE","LOWEST VALUE")</f>
        <v>HIGHEST VALUE</v>
      </c>
      <c r="S385" t="str">
        <f t="shared" si="47"/>
        <v>Profit</v>
      </c>
      <c r="T385" t="str">
        <f t="shared" si="48"/>
        <v>Mr. Eric Brown</v>
      </c>
      <c r="U385" t="str">
        <f t="shared" si="49"/>
        <v>Laptop</v>
      </c>
      <c r="V385">
        <f t="shared" si="50"/>
        <v>2025</v>
      </c>
      <c r="W385">
        <f t="shared" si="51"/>
        <v>9</v>
      </c>
      <c r="X385">
        <f t="shared" si="52"/>
        <v>10</v>
      </c>
      <c r="Y385" t="str">
        <f t="shared" si="53"/>
        <v>Sep</v>
      </c>
      <c r="Z385">
        <f t="shared" si="54"/>
        <v>1</v>
      </c>
    </row>
    <row r="386" spans="1:26" ht="15.75" customHeight="1" x14ac:dyDescent="0.3">
      <c r="A386" s="2" t="s">
        <v>1013</v>
      </c>
      <c r="B386" s="2" t="s">
        <v>1014</v>
      </c>
      <c r="C386" s="2" t="s">
        <v>139</v>
      </c>
      <c r="D386" s="2" t="s">
        <v>31</v>
      </c>
      <c r="E386" s="2" t="s">
        <v>44</v>
      </c>
      <c r="F386" s="2">
        <v>14</v>
      </c>
      <c r="G386" s="2">
        <v>2649.44</v>
      </c>
      <c r="H386" s="2">
        <v>37092.160000000003</v>
      </c>
      <c r="I386" s="2">
        <v>30975.58</v>
      </c>
      <c r="J386" s="2">
        <v>6116.58</v>
      </c>
      <c r="K386" s="3">
        <v>46085</v>
      </c>
      <c r="L386" s="3">
        <v>46092</v>
      </c>
      <c r="M386" s="2" t="s">
        <v>69</v>
      </c>
      <c r="N386" s="2">
        <v>5</v>
      </c>
      <c r="O386" s="2" t="s">
        <v>749</v>
      </c>
      <c r="P386" s="25">
        <v>8.6</v>
      </c>
      <c r="Q386" t="str">
        <f t="shared" si="46"/>
        <v>0385</v>
      </c>
      <c r="R386" t="str">
        <f>IF('RETAIL SALES DATA.'!H386&gt;AVERAGE('RETAIL SALES DATA.'!H386:H1385),"HIGHEST VALUE","LOWEST VALUE")</f>
        <v>HIGHEST VALUE</v>
      </c>
      <c r="S386" t="str">
        <f t="shared" si="47"/>
        <v>Profit</v>
      </c>
      <c r="T386" t="str">
        <f t="shared" si="48"/>
        <v>Tara Medina</v>
      </c>
      <c r="U386" t="str">
        <f t="shared" si="49"/>
        <v>Sofa</v>
      </c>
      <c r="V386">
        <f t="shared" si="50"/>
        <v>2026</v>
      </c>
      <c r="W386">
        <f t="shared" si="51"/>
        <v>3</v>
      </c>
      <c r="X386">
        <f t="shared" si="52"/>
        <v>4</v>
      </c>
      <c r="Y386" t="str">
        <f t="shared" si="53"/>
        <v>Mar</v>
      </c>
      <c r="Z386">
        <f t="shared" si="54"/>
        <v>7</v>
      </c>
    </row>
    <row r="387" spans="1:26" ht="15.75" customHeight="1" x14ac:dyDescent="0.3">
      <c r="A387" s="2" t="s">
        <v>1015</v>
      </c>
      <c r="B387" s="2" t="s">
        <v>1016</v>
      </c>
      <c r="C387" s="2" t="s">
        <v>95</v>
      </c>
      <c r="D387" s="2" t="s">
        <v>19</v>
      </c>
      <c r="E387" s="2" t="s">
        <v>44</v>
      </c>
      <c r="F387" s="2">
        <v>19</v>
      </c>
      <c r="G387" s="2">
        <v>1098.1500000000001</v>
      </c>
      <c r="H387" s="2">
        <v>20864.849999999999</v>
      </c>
      <c r="I387" s="2">
        <v>13031.5</v>
      </c>
      <c r="J387" s="2">
        <v>7833.35</v>
      </c>
      <c r="K387" s="3">
        <v>45508</v>
      </c>
      <c r="L387" s="3">
        <v>45517</v>
      </c>
      <c r="M387" s="2" t="s">
        <v>50</v>
      </c>
      <c r="N387" s="2">
        <v>5</v>
      </c>
      <c r="O387" s="2" t="s">
        <v>1017</v>
      </c>
      <c r="P387" s="25">
        <v>6.6</v>
      </c>
      <c r="Q387" t="str">
        <f t="shared" ref="Q387:Q450" si="55">RIGHT(A387,"4")</f>
        <v>0386</v>
      </c>
      <c r="R387" t="str">
        <f>IF('RETAIL SALES DATA.'!H387&gt;AVERAGE('RETAIL SALES DATA.'!H387:H1386),"HIGHEST VALUE","LOWEST VALUE")</f>
        <v>LOWEST VALUE</v>
      </c>
      <c r="S387" t="str">
        <f t="shared" ref="S387:S450" si="56">IF(J387&gt;0,"Profit","Loss")</f>
        <v>Profit</v>
      </c>
      <c r="T387" t="str">
        <f t="shared" ref="T387:T450" si="57">PROPER(B387)</f>
        <v>Anthony Miller</v>
      </c>
      <c r="U387" t="str">
        <f t="shared" ref="U387:U450" si="58">PROPER(C387)</f>
        <v>Printer</v>
      </c>
      <c r="V387">
        <f t="shared" ref="V387:V450" si="59">YEAR(K387)</f>
        <v>2024</v>
      </c>
      <c r="W387">
        <f t="shared" ref="W387:W450" si="60">MONTH(L387)</f>
        <v>8</v>
      </c>
      <c r="X387">
        <f t="shared" ref="X387:X450" si="61">DAY(K387)</f>
        <v>4</v>
      </c>
      <c r="Y387" t="str">
        <f t="shared" ref="Y387:Y450" si="62">TEXT(K387,"MMM")</f>
        <v>Aug</v>
      </c>
      <c r="Z387">
        <f t="shared" ref="Z387:Z450" si="63">L387-K387</f>
        <v>9</v>
      </c>
    </row>
    <row r="388" spans="1:26" ht="15.75" customHeight="1" x14ac:dyDescent="0.3">
      <c r="A388" s="2" t="s">
        <v>1018</v>
      </c>
      <c r="B388" s="2" t="s">
        <v>1019</v>
      </c>
      <c r="C388" s="2" t="s">
        <v>95</v>
      </c>
      <c r="D388" s="2" t="s">
        <v>19</v>
      </c>
      <c r="E388" s="2" t="s">
        <v>20</v>
      </c>
      <c r="F388" s="2">
        <v>9</v>
      </c>
      <c r="G388" s="2">
        <v>3011.34</v>
      </c>
      <c r="H388" s="2">
        <v>27102.06</v>
      </c>
      <c r="I388" s="2">
        <v>13869.57</v>
      </c>
      <c r="J388" s="2">
        <v>13232.49</v>
      </c>
      <c r="K388" s="3">
        <v>45458</v>
      </c>
      <c r="L388" s="3">
        <v>45466</v>
      </c>
      <c r="M388" s="2" t="s">
        <v>33</v>
      </c>
      <c r="N388" s="2">
        <v>3</v>
      </c>
      <c r="O388" s="2" t="s">
        <v>251</v>
      </c>
      <c r="P388" s="25">
        <v>8.1</v>
      </c>
      <c r="Q388" t="str">
        <f t="shared" si="55"/>
        <v>0387</v>
      </c>
      <c r="R388" t="str">
        <f>IF('RETAIL SALES DATA.'!H388&gt;AVERAGE('RETAIL SALES DATA.'!H388:H1387),"HIGHEST VALUE","LOWEST VALUE")</f>
        <v>HIGHEST VALUE</v>
      </c>
      <c r="S388" t="str">
        <f t="shared" si="56"/>
        <v>Profit</v>
      </c>
      <c r="T388" t="str">
        <f t="shared" si="57"/>
        <v>Corey Campbell</v>
      </c>
      <c r="U388" t="str">
        <f t="shared" si="58"/>
        <v>Printer</v>
      </c>
      <c r="V388">
        <f t="shared" si="59"/>
        <v>2024</v>
      </c>
      <c r="W388">
        <f t="shared" si="60"/>
        <v>6</v>
      </c>
      <c r="X388">
        <f t="shared" si="61"/>
        <v>15</v>
      </c>
      <c r="Y388" t="str">
        <f t="shared" si="62"/>
        <v>Jun</v>
      </c>
      <c r="Z388">
        <f t="shared" si="63"/>
        <v>8</v>
      </c>
    </row>
    <row r="389" spans="1:26" ht="15.75" customHeight="1" x14ac:dyDescent="0.3">
      <c r="A389" s="2" t="s">
        <v>1020</v>
      </c>
      <c r="B389" s="2" t="s">
        <v>1021</v>
      </c>
      <c r="C389" s="2" t="s">
        <v>168</v>
      </c>
      <c r="D389" s="2" t="s">
        <v>43</v>
      </c>
      <c r="E389" s="2" t="s">
        <v>25</v>
      </c>
      <c r="F389" s="2">
        <v>19</v>
      </c>
      <c r="G389" s="2">
        <v>1423.02</v>
      </c>
      <c r="H389" s="2">
        <v>27037.38</v>
      </c>
      <c r="I389" s="2">
        <v>18096.7</v>
      </c>
      <c r="J389" s="2">
        <v>8940.68</v>
      </c>
      <c r="K389" s="3">
        <v>45975</v>
      </c>
      <c r="L389" s="3">
        <v>45983</v>
      </c>
      <c r="M389" s="2" t="s">
        <v>58</v>
      </c>
      <c r="N389" s="2">
        <v>1</v>
      </c>
      <c r="O389" s="2" t="s">
        <v>663</v>
      </c>
      <c r="P389" s="25">
        <v>8.6</v>
      </c>
      <c r="Q389" t="str">
        <f t="shared" si="55"/>
        <v>0388</v>
      </c>
      <c r="R389" t="str">
        <f>IF('RETAIL SALES DATA.'!H389&gt;AVERAGE('RETAIL SALES DATA.'!H389:H1388),"HIGHEST VALUE","LOWEST VALUE")</f>
        <v>HIGHEST VALUE</v>
      </c>
      <c r="S389" t="str">
        <f t="shared" si="56"/>
        <v>Profit</v>
      </c>
      <c r="T389" t="str">
        <f t="shared" si="57"/>
        <v>Mrs. Tricia Davies</v>
      </c>
      <c r="U389" t="str">
        <f t="shared" si="58"/>
        <v>Keyboard</v>
      </c>
      <c r="V389">
        <f t="shared" si="59"/>
        <v>2025</v>
      </c>
      <c r="W389">
        <f t="shared" si="60"/>
        <v>11</v>
      </c>
      <c r="X389">
        <f t="shared" si="61"/>
        <v>14</v>
      </c>
      <c r="Y389" t="str">
        <f t="shared" si="62"/>
        <v>Nov</v>
      </c>
      <c r="Z389">
        <f t="shared" si="63"/>
        <v>8</v>
      </c>
    </row>
    <row r="390" spans="1:26" ht="15.75" customHeight="1" x14ac:dyDescent="0.3">
      <c r="A390" s="2" t="s">
        <v>1022</v>
      </c>
      <c r="B390" s="2" t="s">
        <v>1023</v>
      </c>
      <c r="C390" s="2" t="s">
        <v>49</v>
      </c>
      <c r="D390" s="2" t="s">
        <v>43</v>
      </c>
      <c r="E390" s="2" t="s">
        <v>44</v>
      </c>
      <c r="F390" s="2">
        <v>19</v>
      </c>
      <c r="G390" s="2">
        <v>4866.8</v>
      </c>
      <c r="H390" s="2">
        <v>92469.2</v>
      </c>
      <c r="I390" s="2">
        <v>72056</v>
      </c>
      <c r="J390" s="2">
        <v>20413.2</v>
      </c>
      <c r="K390" s="3">
        <v>45515</v>
      </c>
      <c r="L390" s="3">
        <v>45524</v>
      </c>
      <c r="M390" s="2" t="s">
        <v>38</v>
      </c>
      <c r="N390" s="2">
        <v>5</v>
      </c>
      <c r="O390" s="2" t="s">
        <v>610</v>
      </c>
      <c r="P390" s="25">
        <v>9.8000000000000007</v>
      </c>
      <c r="Q390" t="str">
        <f t="shared" si="55"/>
        <v>0389</v>
      </c>
      <c r="R390" t="str">
        <f>IF('RETAIL SALES DATA.'!H390&gt;AVERAGE('RETAIL SALES DATA.'!H390:H1389),"HIGHEST VALUE","LOWEST VALUE")</f>
        <v>HIGHEST VALUE</v>
      </c>
      <c r="S390" t="str">
        <f t="shared" si="56"/>
        <v>Profit</v>
      </c>
      <c r="T390" t="str">
        <f t="shared" si="57"/>
        <v>Mary Lewis</v>
      </c>
      <c r="U390" t="str">
        <f t="shared" si="58"/>
        <v>Mouse</v>
      </c>
      <c r="V390">
        <f t="shared" si="59"/>
        <v>2024</v>
      </c>
      <c r="W390">
        <f t="shared" si="60"/>
        <v>8</v>
      </c>
      <c r="X390">
        <f t="shared" si="61"/>
        <v>11</v>
      </c>
      <c r="Y390" t="str">
        <f t="shared" si="62"/>
        <v>Aug</v>
      </c>
      <c r="Z390">
        <f t="shared" si="63"/>
        <v>9</v>
      </c>
    </row>
    <row r="391" spans="1:26" ht="15.75" customHeight="1" x14ac:dyDescent="0.3">
      <c r="A391" s="2" t="s">
        <v>1024</v>
      </c>
      <c r="B391" s="2" t="s">
        <v>1025</v>
      </c>
      <c r="C391" s="2" t="s">
        <v>168</v>
      </c>
      <c r="D391" s="2" t="s">
        <v>43</v>
      </c>
      <c r="E391" s="2" t="s">
        <v>32</v>
      </c>
      <c r="F391" s="2">
        <v>17</v>
      </c>
      <c r="G391" s="2">
        <v>4473.1400000000003</v>
      </c>
      <c r="H391" s="2">
        <v>76043.38</v>
      </c>
      <c r="I391" s="2">
        <v>57069.56</v>
      </c>
      <c r="J391" s="2">
        <v>18973.82</v>
      </c>
      <c r="K391" s="3">
        <v>45464</v>
      </c>
      <c r="L391" s="3">
        <v>45470</v>
      </c>
      <c r="M391" s="2" t="s">
        <v>123</v>
      </c>
      <c r="N391" s="2">
        <v>3</v>
      </c>
      <c r="O391" s="2" t="s">
        <v>1026</v>
      </c>
      <c r="P391" s="25">
        <v>6.2</v>
      </c>
      <c r="Q391" t="str">
        <f t="shared" si="55"/>
        <v>0390</v>
      </c>
      <c r="R391" t="str">
        <f>IF('RETAIL SALES DATA.'!H391&gt;AVERAGE('RETAIL SALES DATA.'!H391:H1390),"HIGHEST VALUE","LOWEST VALUE")</f>
        <v>HIGHEST VALUE</v>
      </c>
      <c r="S391" t="str">
        <f t="shared" si="56"/>
        <v>Profit</v>
      </c>
      <c r="T391" t="str">
        <f t="shared" si="57"/>
        <v>Rachel Welch</v>
      </c>
      <c r="U391" t="str">
        <f t="shared" si="58"/>
        <v>Keyboard</v>
      </c>
      <c r="V391">
        <f t="shared" si="59"/>
        <v>2024</v>
      </c>
      <c r="W391">
        <f t="shared" si="60"/>
        <v>6</v>
      </c>
      <c r="X391">
        <f t="shared" si="61"/>
        <v>21</v>
      </c>
      <c r="Y391" t="str">
        <f t="shared" si="62"/>
        <v>Jun</v>
      </c>
      <c r="Z391">
        <f t="shared" si="63"/>
        <v>6</v>
      </c>
    </row>
    <row r="392" spans="1:26" ht="15.75" customHeight="1" x14ac:dyDescent="0.3">
      <c r="A392" s="2" t="s">
        <v>1027</v>
      </c>
      <c r="B392" s="2" t="s">
        <v>1028</v>
      </c>
      <c r="C392" s="2" t="s">
        <v>95</v>
      </c>
      <c r="D392" s="2" t="s">
        <v>19</v>
      </c>
      <c r="E392" s="2" t="s">
        <v>44</v>
      </c>
      <c r="F392" s="2">
        <v>18</v>
      </c>
      <c r="G392" s="2">
        <v>4231.6400000000003</v>
      </c>
      <c r="H392" s="2">
        <v>76169.52</v>
      </c>
      <c r="I392" s="2">
        <v>40121.4</v>
      </c>
      <c r="J392" s="2">
        <v>36048.120000000003</v>
      </c>
      <c r="K392" s="3">
        <v>46069</v>
      </c>
      <c r="L392" s="3">
        <v>46078</v>
      </c>
      <c r="M392" s="2" t="s">
        <v>45</v>
      </c>
      <c r="N392" s="2">
        <v>2</v>
      </c>
      <c r="O392" s="2" t="s">
        <v>208</v>
      </c>
      <c r="P392" s="25">
        <v>7.8</v>
      </c>
      <c r="Q392" t="str">
        <f t="shared" si="55"/>
        <v>0391</v>
      </c>
      <c r="R392" t="str">
        <f>IF('RETAIL SALES DATA.'!H392&gt;AVERAGE('RETAIL SALES DATA.'!H392:H1391),"HIGHEST VALUE","LOWEST VALUE")</f>
        <v>HIGHEST VALUE</v>
      </c>
      <c r="S392" t="str">
        <f t="shared" si="56"/>
        <v>Profit</v>
      </c>
      <c r="T392" t="str">
        <f t="shared" si="57"/>
        <v>Timothy Hogan</v>
      </c>
      <c r="U392" t="str">
        <f t="shared" si="58"/>
        <v>Printer</v>
      </c>
      <c r="V392">
        <f t="shared" si="59"/>
        <v>2026</v>
      </c>
      <c r="W392">
        <f t="shared" si="60"/>
        <v>2</v>
      </c>
      <c r="X392">
        <f t="shared" si="61"/>
        <v>16</v>
      </c>
      <c r="Y392" t="str">
        <f t="shared" si="62"/>
        <v>Feb</v>
      </c>
      <c r="Z392">
        <f t="shared" si="63"/>
        <v>9</v>
      </c>
    </row>
    <row r="393" spans="1:26" ht="15.75" customHeight="1" x14ac:dyDescent="0.3">
      <c r="A393" s="2" t="s">
        <v>1029</v>
      </c>
      <c r="B393" s="2" t="s">
        <v>1030</v>
      </c>
      <c r="C393" s="2" t="s">
        <v>195</v>
      </c>
      <c r="D393" s="2" t="s">
        <v>43</v>
      </c>
      <c r="E393" s="2" t="s">
        <v>44</v>
      </c>
      <c r="F393" s="2">
        <v>16</v>
      </c>
      <c r="G393" s="2">
        <v>373.21</v>
      </c>
      <c r="H393" s="2">
        <v>5971.36</v>
      </c>
      <c r="I393" s="2">
        <v>4634.9799999999996</v>
      </c>
      <c r="J393" s="2">
        <v>1336.38</v>
      </c>
      <c r="K393" s="3">
        <v>45868</v>
      </c>
      <c r="L393" s="3">
        <v>45873</v>
      </c>
      <c r="M393" s="2" t="s">
        <v>33</v>
      </c>
      <c r="N393" s="2">
        <v>1</v>
      </c>
      <c r="O393" s="2" t="s">
        <v>645</v>
      </c>
      <c r="P393" s="25">
        <v>7.9</v>
      </c>
      <c r="Q393" t="str">
        <f t="shared" si="55"/>
        <v>0392</v>
      </c>
      <c r="R393" t="str">
        <f>IF('RETAIL SALES DATA.'!H393&gt;AVERAGE('RETAIL SALES DATA.'!H393:H1392),"HIGHEST VALUE","LOWEST VALUE")</f>
        <v>LOWEST VALUE</v>
      </c>
      <c r="S393" t="str">
        <f t="shared" si="56"/>
        <v>Profit</v>
      </c>
      <c r="T393" t="str">
        <f t="shared" si="57"/>
        <v>Todd Long</v>
      </c>
      <c r="U393" t="str">
        <f t="shared" si="58"/>
        <v>Monitor</v>
      </c>
      <c r="V393">
        <f t="shared" si="59"/>
        <v>2025</v>
      </c>
      <c r="W393">
        <f t="shared" si="60"/>
        <v>8</v>
      </c>
      <c r="X393">
        <f t="shared" si="61"/>
        <v>30</v>
      </c>
      <c r="Y393" t="str">
        <f t="shared" si="62"/>
        <v>Jul</v>
      </c>
      <c r="Z393">
        <f t="shared" si="63"/>
        <v>5</v>
      </c>
    </row>
    <row r="394" spans="1:26" ht="15.75" customHeight="1" x14ac:dyDescent="0.3">
      <c r="A394" s="2" t="s">
        <v>1031</v>
      </c>
      <c r="B394" s="2" t="s">
        <v>1032</v>
      </c>
      <c r="C394" s="2" t="s">
        <v>88</v>
      </c>
      <c r="D394" s="2" t="s">
        <v>31</v>
      </c>
      <c r="E394" s="2" t="s">
        <v>32</v>
      </c>
      <c r="F394" s="2">
        <v>4</v>
      </c>
      <c r="G394" s="2">
        <v>4042.39</v>
      </c>
      <c r="H394" s="2">
        <v>16169.56</v>
      </c>
      <c r="I394" s="2">
        <v>12013.57</v>
      </c>
      <c r="J394" s="2">
        <v>4155.99</v>
      </c>
      <c r="K394" s="3">
        <v>45626</v>
      </c>
      <c r="L394" s="3">
        <v>45628</v>
      </c>
      <c r="M394" s="2" t="s">
        <v>38</v>
      </c>
      <c r="N394" s="2">
        <v>4</v>
      </c>
      <c r="O394" s="2" t="s">
        <v>108</v>
      </c>
      <c r="P394" s="25">
        <v>6.5</v>
      </c>
      <c r="Q394" t="str">
        <f t="shared" si="55"/>
        <v>0393</v>
      </c>
      <c r="R394" t="str">
        <f>IF('RETAIL SALES DATA.'!H394&gt;AVERAGE('RETAIL SALES DATA.'!H394:H1393),"HIGHEST VALUE","LOWEST VALUE")</f>
        <v>LOWEST VALUE</v>
      </c>
      <c r="S394" t="str">
        <f t="shared" si="56"/>
        <v>Profit</v>
      </c>
      <c r="T394" t="str">
        <f t="shared" si="57"/>
        <v>Jeremy Adams</v>
      </c>
      <c r="U394" t="str">
        <f t="shared" si="58"/>
        <v>Cupboard</v>
      </c>
      <c r="V394">
        <f t="shared" si="59"/>
        <v>2024</v>
      </c>
      <c r="W394">
        <f t="shared" si="60"/>
        <v>12</v>
      </c>
      <c r="X394">
        <f t="shared" si="61"/>
        <v>30</v>
      </c>
      <c r="Y394" t="str">
        <f t="shared" si="62"/>
        <v>Nov</v>
      </c>
      <c r="Z394">
        <f t="shared" si="63"/>
        <v>2</v>
      </c>
    </row>
    <row r="395" spans="1:26" ht="15.75" customHeight="1" x14ac:dyDescent="0.3">
      <c r="A395" s="2" t="s">
        <v>1033</v>
      </c>
      <c r="B395" s="2" t="s">
        <v>1034</v>
      </c>
      <c r="C395" s="2" t="s">
        <v>95</v>
      </c>
      <c r="D395" s="2" t="s">
        <v>19</v>
      </c>
      <c r="E395" s="2" t="s">
        <v>32</v>
      </c>
      <c r="F395" s="2">
        <v>10</v>
      </c>
      <c r="G395" s="2">
        <v>3919.53</v>
      </c>
      <c r="H395" s="2">
        <v>39195.300000000003</v>
      </c>
      <c r="I395" s="2">
        <v>25982.09</v>
      </c>
      <c r="J395" s="2">
        <v>13213.21</v>
      </c>
      <c r="K395" s="3">
        <v>45555</v>
      </c>
      <c r="L395" s="3">
        <v>45558</v>
      </c>
      <c r="M395" s="2" t="s">
        <v>50</v>
      </c>
      <c r="N395" s="2">
        <v>1</v>
      </c>
      <c r="O395" s="2" t="s">
        <v>1035</v>
      </c>
      <c r="P395" s="25">
        <v>7.9</v>
      </c>
      <c r="Q395" t="str">
        <f t="shared" si="55"/>
        <v>0394</v>
      </c>
      <c r="R395" t="str">
        <f>IF('RETAIL SALES DATA.'!H395&gt;AVERAGE('RETAIL SALES DATA.'!H395:H1394),"HIGHEST VALUE","LOWEST VALUE")</f>
        <v>HIGHEST VALUE</v>
      </c>
      <c r="S395" t="str">
        <f t="shared" si="56"/>
        <v>Profit</v>
      </c>
      <c r="T395" t="str">
        <f t="shared" si="57"/>
        <v>Christopher Cooper</v>
      </c>
      <c r="U395" t="str">
        <f t="shared" si="58"/>
        <v>Printer</v>
      </c>
      <c r="V395">
        <f t="shared" si="59"/>
        <v>2024</v>
      </c>
      <c r="W395">
        <f t="shared" si="60"/>
        <v>9</v>
      </c>
      <c r="X395">
        <f t="shared" si="61"/>
        <v>20</v>
      </c>
      <c r="Y395" t="str">
        <f t="shared" si="62"/>
        <v>Sep</v>
      </c>
      <c r="Z395">
        <f t="shared" si="63"/>
        <v>3</v>
      </c>
    </row>
    <row r="396" spans="1:26" ht="15.75" customHeight="1" x14ac:dyDescent="0.3">
      <c r="A396" s="2" t="s">
        <v>1036</v>
      </c>
      <c r="B396" s="2" t="s">
        <v>1037</v>
      </c>
      <c r="C396" s="2" t="s">
        <v>62</v>
      </c>
      <c r="D396" s="2" t="s">
        <v>31</v>
      </c>
      <c r="E396" s="2" t="s">
        <v>32</v>
      </c>
      <c r="F396" s="2">
        <v>12</v>
      </c>
      <c r="G396" s="2">
        <v>1969.65</v>
      </c>
      <c r="H396" s="2">
        <v>23635.8</v>
      </c>
      <c r="I396" s="2">
        <v>17748.52</v>
      </c>
      <c r="J396" s="2">
        <v>5887.28</v>
      </c>
      <c r="K396" s="3">
        <v>45534</v>
      </c>
      <c r="L396" s="3">
        <v>45538</v>
      </c>
      <c r="M396" s="2" t="s">
        <v>21</v>
      </c>
      <c r="N396" s="2">
        <v>3</v>
      </c>
      <c r="O396" s="2" t="s">
        <v>148</v>
      </c>
      <c r="P396" s="25">
        <v>7.3</v>
      </c>
      <c r="Q396" t="str">
        <f t="shared" si="55"/>
        <v>0395</v>
      </c>
      <c r="R396" t="str">
        <f>IF('RETAIL SALES DATA.'!H396&gt;AVERAGE('RETAIL SALES DATA.'!H396:H1395),"HIGHEST VALUE","LOWEST VALUE")</f>
        <v>LOWEST VALUE</v>
      </c>
      <c r="S396" t="str">
        <f t="shared" si="56"/>
        <v>Profit</v>
      </c>
      <c r="T396" t="str">
        <f t="shared" si="57"/>
        <v>Benjamin Jackson</v>
      </c>
      <c r="U396" t="str">
        <f t="shared" si="58"/>
        <v>Table</v>
      </c>
      <c r="V396">
        <f t="shared" si="59"/>
        <v>2024</v>
      </c>
      <c r="W396">
        <f t="shared" si="60"/>
        <v>9</v>
      </c>
      <c r="X396">
        <f t="shared" si="61"/>
        <v>30</v>
      </c>
      <c r="Y396" t="str">
        <f t="shared" si="62"/>
        <v>Aug</v>
      </c>
      <c r="Z396">
        <f t="shared" si="63"/>
        <v>4</v>
      </c>
    </row>
    <row r="397" spans="1:26" ht="15.75" customHeight="1" x14ac:dyDescent="0.3">
      <c r="A397" s="2" t="s">
        <v>1038</v>
      </c>
      <c r="B397" s="2" t="s">
        <v>1039</v>
      </c>
      <c r="C397" s="2" t="s">
        <v>95</v>
      </c>
      <c r="D397" s="2" t="s">
        <v>19</v>
      </c>
      <c r="E397" s="2" t="s">
        <v>32</v>
      </c>
      <c r="F397" s="2">
        <v>4</v>
      </c>
      <c r="G397" s="2">
        <v>1839.85</v>
      </c>
      <c r="H397" s="2">
        <v>7359.4</v>
      </c>
      <c r="I397" s="2">
        <v>4581.92</v>
      </c>
      <c r="J397" s="2">
        <v>2777.48</v>
      </c>
      <c r="K397" s="3">
        <v>45445</v>
      </c>
      <c r="L397" s="3">
        <v>45455</v>
      </c>
      <c r="M397" s="2" t="s">
        <v>38</v>
      </c>
      <c r="N397" s="2">
        <v>5</v>
      </c>
      <c r="O397" s="2" t="s">
        <v>375</v>
      </c>
      <c r="P397" s="25">
        <v>6.2</v>
      </c>
      <c r="Q397" t="str">
        <f t="shared" si="55"/>
        <v>0396</v>
      </c>
      <c r="R397" t="str">
        <f>IF('RETAIL SALES DATA.'!H397&gt;AVERAGE('RETAIL SALES DATA.'!H397:H1396),"HIGHEST VALUE","LOWEST VALUE")</f>
        <v>LOWEST VALUE</v>
      </c>
      <c r="S397" t="str">
        <f t="shared" si="56"/>
        <v>Profit</v>
      </c>
      <c r="T397" t="str">
        <f t="shared" si="57"/>
        <v>Neil Martinez</v>
      </c>
      <c r="U397" t="str">
        <f t="shared" si="58"/>
        <v>Printer</v>
      </c>
      <c r="V397">
        <f t="shared" si="59"/>
        <v>2024</v>
      </c>
      <c r="W397">
        <f t="shared" si="60"/>
        <v>6</v>
      </c>
      <c r="X397">
        <f t="shared" si="61"/>
        <v>2</v>
      </c>
      <c r="Y397" t="str">
        <f t="shared" si="62"/>
        <v>Jun</v>
      </c>
      <c r="Z397">
        <f t="shared" si="63"/>
        <v>10</v>
      </c>
    </row>
    <row r="398" spans="1:26" ht="15.75" customHeight="1" x14ac:dyDescent="0.3">
      <c r="A398" s="2" t="s">
        <v>1040</v>
      </c>
      <c r="B398" s="2" t="s">
        <v>1041</v>
      </c>
      <c r="C398" s="2" t="s">
        <v>219</v>
      </c>
      <c r="D398" s="2" t="s">
        <v>43</v>
      </c>
      <c r="E398" s="2" t="s">
        <v>25</v>
      </c>
      <c r="F398" s="2">
        <v>4</v>
      </c>
      <c r="G398" s="2">
        <v>1739.09</v>
      </c>
      <c r="H398" s="2">
        <v>6956.36</v>
      </c>
      <c r="I398" s="2">
        <v>5234.3100000000004</v>
      </c>
      <c r="J398" s="2">
        <v>1722.05</v>
      </c>
      <c r="K398" s="3">
        <v>45955</v>
      </c>
      <c r="L398" s="3">
        <v>45964</v>
      </c>
      <c r="M398" s="2" t="s">
        <v>45</v>
      </c>
      <c r="N398" s="2">
        <v>3</v>
      </c>
      <c r="O398" s="2" t="s">
        <v>111</v>
      </c>
      <c r="P398" s="25">
        <v>6.1</v>
      </c>
      <c r="Q398" t="str">
        <f t="shared" si="55"/>
        <v>0397</v>
      </c>
      <c r="R398" t="str">
        <f>IF('RETAIL SALES DATA.'!H398&gt;AVERAGE('RETAIL SALES DATA.'!H398:H1397),"HIGHEST VALUE","LOWEST VALUE")</f>
        <v>LOWEST VALUE</v>
      </c>
      <c r="S398" t="str">
        <f t="shared" si="56"/>
        <v>Profit</v>
      </c>
      <c r="T398" t="str">
        <f t="shared" si="57"/>
        <v>Craig Daniels</v>
      </c>
      <c r="U398" t="str">
        <f t="shared" si="58"/>
        <v>Smartphone</v>
      </c>
      <c r="V398">
        <f t="shared" si="59"/>
        <v>2025</v>
      </c>
      <c r="W398">
        <f t="shared" si="60"/>
        <v>11</v>
      </c>
      <c r="X398">
        <f t="shared" si="61"/>
        <v>25</v>
      </c>
      <c r="Y398" t="str">
        <f t="shared" si="62"/>
        <v>Oct</v>
      </c>
      <c r="Z398">
        <f t="shared" si="63"/>
        <v>9</v>
      </c>
    </row>
    <row r="399" spans="1:26" ht="15.75" customHeight="1" x14ac:dyDescent="0.3">
      <c r="A399" s="2" t="s">
        <v>1042</v>
      </c>
      <c r="B399" s="2" t="s">
        <v>1043</v>
      </c>
      <c r="C399" s="2" t="s">
        <v>88</v>
      </c>
      <c r="D399" s="2" t="s">
        <v>31</v>
      </c>
      <c r="E399" s="2" t="s">
        <v>44</v>
      </c>
      <c r="F399" s="2">
        <v>16</v>
      </c>
      <c r="G399" s="2">
        <v>1063.21</v>
      </c>
      <c r="H399" s="2">
        <v>17011.36</v>
      </c>
      <c r="I399" s="2">
        <v>14356.58</v>
      </c>
      <c r="J399" s="2">
        <v>2654.78</v>
      </c>
      <c r="K399" s="3">
        <v>45915</v>
      </c>
      <c r="L399" s="3">
        <v>45925</v>
      </c>
      <c r="M399" s="2" t="s">
        <v>69</v>
      </c>
      <c r="N399" s="2">
        <v>4</v>
      </c>
      <c r="O399" s="2" t="s">
        <v>370</v>
      </c>
      <c r="P399" s="25">
        <v>8.9</v>
      </c>
      <c r="Q399" t="str">
        <f t="shared" si="55"/>
        <v>0398</v>
      </c>
      <c r="R399" t="str">
        <f>IF('RETAIL SALES DATA.'!H399&gt;AVERAGE('RETAIL SALES DATA.'!H399:H1398),"HIGHEST VALUE","LOWEST VALUE")</f>
        <v>LOWEST VALUE</v>
      </c>
      <c r="S399" t="str">
        <f t="shared" si="56"/>
        <v>Profit</v>
      </c>
      <c r="T399" t="str">
        <f t="shared" si="57"/>
        <v>Jean Palmer</v>
      </c>
      <c r="U399" t="str">
        <f t="shared" si="58"/>
        <v>Cupboard</v>
      </c>
      <c r="V399">
        <f t="shared" si="59"/>
        <v>2025</v>
      </c>
      <c r="W399">
        <f t="shared" si="60"/>
        <v>9</v>
      </c>
      <c r="X399">
        <f t="shared" si="61"/>
        <v>15</v>
      </c>
      <c r="Y399" t="str">
        <f t="shared" si="62"/>
        <v>Sep</v>
      </c>
      <c r="Z399">
        <f t="shared" si="63"/>
        <v>10</v>
      </c>
    </row>
    <row r="400" spans="1:26" ht="15.75" customHeight="1" x14ac:dyDescent="0.3">
      <c r="A400" s="2" t="s">
        <v>1044</v>
      </c>
      <c r="B400" s="2" t="s">
        <v>1045</v>
      </c>
      <c r="C400" s="2" t="s">
        <v>30</v>
      </c>
      <c r="D400" s="2" t="s">
        <v>31</v>
      </c>
      <c r="E400" s="2" t="s">
        <v>44</v>
      </c>
      <c r="F400" s="2">
        <v>9</v>
      </c>
      <c r="G400" s="2">
        <v>768.39</v>
      </c>
      <c r="H400" s="2">
        <v>6915.51</v>
      </c>
      <c r="I400" s="2">
        <v>5810.33</v>
      </c>
      <c r="J400" s="2">
        <v>1105.18</v>
      </c>
      <c r="K400" s="3">
        <v>46094</v>
      </c>
      <c r="L400" s="3">
        <v>46101</v>
      </c>
      <c r="M400" s="2" t="s">
        <v>26</v>
      </c>
      <c r="N400" s="2">
        <v>3</v>
      </c>
      <c r="O400" s="2" t="s">
        <v>512</v>
      </c>
      <c r="P400" s="25">
        <v>6</v>
      </c>
      <c r="Q400" t="str">
        <f t="shared" si="55"/>
        <v>0399</v>
      </c>
      <c r="R400" t="str">
        <f>IF('RETAIL SALES DATA.'!H400&gt;AVERAGE('RETAIL SALES DATA.'!H400:H1399),"HIGHEST VALUE","LOWEST VALUE")</f>
        <v>LOWEST VALUE</v>
      </c>
      <c r="S400" t="str">
        <f t="shared" si="56"/>
        <v>Profit</v>
      </c>
      <c r="T400" t="str">
        <f t="shared" si="57"/>
        <v>John Serrano</v>
      </c>
      <c r="U400" t="str">
        <f t="shared" si="58"/>
        <v>Desk</v>
      </c>
      <c r="V400">
        <f t="shared" si="59"/>
        <v>2026</v>
      </c>
      <c r="W400">
        <f t="shared" si="60"/>
        <v>3</v>
      </c>
      <c r="X400">
        <f t="shared" si="61"/>
        <v>13</v>
      </c>
      <c r="Y400" t="str">
        <f t="shared" si="62"/>
        <v>Mar</v>
      </c>
      <c r="Z400">
        <f t="shared" si="63"/>
        <v>7</v>
      </c>
    </row>
    <row r="401" spans="1:26" ht="15.75" customHeight="1" x14ac:dyDescent="0.3">
      <c r="A401" s="2" t="s">
        <v>1046</v>
      </c>
      <c r="B401" s="2" t="s">
        <v>1047</v>
      </c>
      <c r="C401" s="2" t="s">
        <v>195</v>
      </c>
      <c r="D401" s="2" t="s">
        <v>43</v>
      </c>
      <c r="E401" s="2" t="s">
        <v>25</v>
      </c>
      <c r="F401" s="2">
        <v>4</v>
      </c>
      <c r="G401" s="2">
        <v>1322.22</v>
      </c>
      <c r="H401" s="2">
        <v>5288.88</v>
      </c>
      <c r="I401" s="2">
        <v>2657.5</v>
      </c>
      <c r="J401" s="2">
        <v>2631.38</v>
      </c>
      <c r="K401" s="3">
        <v>45723</v>
      </c>
      <c r="L401" s="3">
        <v>45725</v>
      </c>
      <c r="M401" s="2" t="s">
        <v>45</v>
      </c>
      <c r="N401" s="2">
        <v>4</v>
      </c>
      <c r="O401" s="2" t="s">
        <v>1048</v>
      </c>
      <c r="P401" s="25">
        <v>8.1999999999999993</v>
      </c>
      <c r="Q401" t="str">
        <f t="shared" si="55"/>
        <v>0400</v>
      </c>
      <c r="R401" t="str">
        <f>IF('RETAIL SALES DATA.'!H401&gt;AVERAGE('RETAIL SALES DATA.'!H401:H1400),"HIGHEST VALUE","LOWEST VALUE")</f>
        <v>LOWEST VALUE</v>
      </c>
      <c r="S401" t="str">
        <f t="shared" si="56"/>
        <v>Profit</v>
      </c>
      <c r="T401" t="str">
        <f t="shared" si="57"/>
        <v>Hannah Watson</v>
      </c>
      <c r="U401" t="str">
        <f t="shared" si="58"/>
        <v>Monitor</v>
      </c>
      <c r="V401">
        <f t="shared" si="59"/>
        <v>2025</v>
      </c>
      <c r="W401">
        <f t="shared" si="60"/>
        <v>3</v>
      </c>
      <c r="X401">
        <f t="shared" si="61"/>
        <v>7</v>
      </c>
      <c r="Y401" t="str">
        <f t="shared" si="62"/>
        <v>Mar</v>
      </c>
      <c r="Z401">
        <f t="shared" si="63"/>
        <v>2</v>
      </c>
    </row>
    <row r="402" spans="1:26" ht="15.75" customHeight="1" x14ac:dyDescent="0.3">
      <c r="A402" s="2" t="s">
        <v>1049</v>
      </c>
      <c r="B402" s="2" t="s">
        <v>1050</v>
      </c>
      <c r="C402" s="2" t="s">
        <v>57</v>
      </c>
      <c r="D402" s="2" t="s">
        <v>19</v>
      </c>
      <c r="E402" s="2" t="s">
        <v>32</v>
      </c>
      <c r="F402" s="2">
        <v>18</v>
      </c>
      <c r="G402" s="2">
        <v>4808.6499999999996</v>
      </c>
      <c r="H402" s="2">
        <v>86555.7</v>
      </c>
      <c r="I402" s="2">
        <v>63151.39</v>
      </c>
      <c r="J402" s="2">
        <v>23404.31</v>
      </c>
      <c r="K402" s="3">
        <v>45451</v>
      </c>
      <c r="L402" s="3">
        <v>45459</v>
      </c>
      <c r="M402" s="2" t="s">
        <v>50</v>
      </c>
      <c r="N402" s="2">
        <v>2</v>
      </c>
      <c r="O402" s="2" t="s">
        <v>22</v>
      </c>
      <c r="P402" s="25">
        <v>8.6</v>
      </c>
      <c r="Q402" t="str">
        <f t="shared" si="55"/>
        <v>0401</v>
      </c>
      <c r="R402" t="str">
        <f>IF('RETAIL SALES DATA.'!H402&gt;AVERAGE('RETAIL SALES DATA.'!H402:H1401),"HIGHEST VALUE","LOWEST VALUE")</f>
        <v>HIGHEST VALUE</v>
      </c>
      <c r="S402" t="str">
        <f t="shared" si="56"/>
        <v>Profit</v>
      </c>
      <c r="T402" t="str">
        <f t="shared" si="57"/>
        <v>Laura Kerr</v>
      </c>
      <c r="U402" t="str">
        <f t="shared" si="58"/>
        <v>Notebook</v>
      </c>
      <c r="V402">
        <f t="shared" si="59"/>
        <v>2024</v>
      </c>
      <c r="W402">
        <f t="shared" si="60"/>
        <v>6</v>
      </c>
      <c r="X402">
        <f t="shared" si="61"/>
        <v>8</v>
      </c>
      <c r="Y402" t="str">
        <f t="shared" si="62"/>
        <v>Jun</v>
      </c>
      <c r="Z402">
        <f t="shared" si="63"/>
        <v>8</v>
      </c>
    </row>
    <row r="403" spans="1:26" ht="15.75" customHeight="1" x14ac:dyDescent="0.3">
      <c r="A403" s="2" t="s">
        <v>1051</v>
      </c>
      <c r="B403" s="2" t="s">
        <v>1052</v>
      </c>
      <c r="C403" s="2" t="s">
        <v>139</v>
      </c>
      <c r="D403" s="2" t="s">
        <v>31</v>
      </c>
      <c r="E403" s="2" t="s">
        <v>20</v>
      </c>
      <c r="F403" s="2">
        <v>18</v>
      </c>
      <c r="G403" s="2">
        <v>717.4</v>
      </c>
      <c r="H403" s="2">
        <v>12913.2</v>
      </c>
      <c r="I403" s="2">
        <v>6783.19</v>
      </c>
      <c r="J403" s="2">
        <v>6130.01</v>
      </c>
      <c r="K403" s="3">
        <v>46155</v>
      </c>
      <c r="L403" s="3">
        <v>46165</v>
      </c>
      <c r="M403" s="2" t="s">
        <v>50</v>
      </c>
      <c r="N403" s="2">
        <v>3</v>
      </c>
      <c r="O403" s="2" t="s">
        <v>499</v>
      </c>
      <c r="P403" s="25">
        <v>8</v>
      </c>
      <c r="Q403" t="str">
        <f t="shared" si="55"/>
        <v>0402</v>
      </c>
      <c r="R403" t="str">
        <f>IF('RETAIL SALES DATA.'!H403&gt;AVERAGE('RETAIL SALES DATA.'!H403:H1402),"HIGHEST VALUE","LOWEST VALUE")</f>
        <v>LOWEST VALUE</v>
      </c>
      <c r="S403" t="str">
        <f t="shared" si="56"/>
        <v>Profit</v>
      </c>
      <c r="T403" t="str">
        <f t="shared" si="57"/>
        <v>Ryan Perez</v>
      </c>
      <c r="U403" t="str">
        <f t="shared" si="58"/>
        <v>Sofa</v>
      </c>
      <c r="V403">
        <f t="shared" si="59"/>
        <v>2026</v>
      </c>
      <c r="W403">
        <f t="shared" si="60"/>
        <v>5</v>
      </c>
      <c r="X403">
        <f t="shared" si="61"/>
        <v>13</v>
      </c>
      <c r="Y403" t="str">
        <f t="shared" si="62"/>
        <v>May</v>
      </c>
      <c r="Z403">
        <f t="shared" si="63"/>
        <v>10</v>
      </c>
    </row>
    <row r="404" spans="1:26" ht="15.75" customHeight="1" x14ac:dyDescent="0.3">
      <c r="A404" s="2" t="s">
        <v>1053</v>
      </c>
      <c r="B404" s="2" t="s">
        <v>1054</v>
      </c>
      <c r="C404" s="2" t="s">
        <v>88</v>
      </c>
      <c r="D404" s="2" t="s">
        <v>31</v>
      </c>
      <c r="E404" s="2" t="s">
        <v>44</v>
      </c>
      <c r="F404" s="2">
        <v>19</v>
      </c>
      <c r="G404" s="2">
        <v>1465.34</v>
      </c>
      <c r="H404" s="2">
        <v>27841.46</v>
      </c>
      <c r="I404" s="2">
        <v>23695.33</v>
      </c>
      <c r="J404" s="2">
        <v>4146.13</v>
      </c>
      <c r="K404" s="3">
        <v>46043</v>
      </c>
      <c r="L404" s="3">
        <v>46052</v>
      </c>
      <c r="M404" s="2" t="s">
        <v>69</v>
      </c>
      <c r="N404" s="2">
        <v>1</v>
      </c>
      <c r="O404" s="2" t="s">
        <v>136</v>
      </c>
      <c r="P404" s="25">
        <v>6.3</v>
      </c>
      <c r="Q404" t="str">
        <f t="shared" si="55"/>
        <v>0403</v>
      </c>
      <c r="R404" t="str">
        <f>IF('RETAIL SALES DATA.'!H404&gt;AVERAGE('RETAIL SALES DATA.'!H404:H1403),"HIGHEST VALUE","LOWEST VALUE")</f>
        <v>HIGHEST VALUE</v>
      </c>
      <c r="S404" t="str">
        <f t="shared" si="56"/>
        <v>Profit</v>
      </c>
      <c r="T404" t="str">
        <f t="shared" si="57"/>
        <v>Karen Leon</v>
      </c>
      <c r="U404" t="str">
        <f t="shared" si="58"/>
        <v>Cupboard</v>
      </c>
      <c r="V404">
        <f t="shared" si="59"/>
        <v>2026</v>
      </c>
      <c r="W404">
        <f t="shared" si="60"/>
        <v>1</v>
      </c>
      <c r="X404">
        <f t="shared" si="61"/>
        <v>21</v>
      </c>
      <c r="Y404" t="str">
        <f t="shared" si="62"/>
        <v>Jan</v>
      </c>
      <c r="Z404">
        <f t="shared" si="63"/>
        <v>9</v>
      </c>
    </row>
    <row r="405" spans="1:26" ht="15.75" customHeight="1" x14ac:dyDescent="0.3">
      <c r="A405" s="2" t="s">
        <v>1055</v>
      </c>
      <c r="B405" s="2" t="s">
        <v>1056</v>
      </c>
      <c r="C405" s="2" t="s">
        <v>72</v>
      </c>
      <c r="D405" s="2" t="s">
        <v>31</v>
      </c>
      <c r="E405" s="2" t="s">
        <v>44</v>
      </c>
      <c r="F405" s="2">
        <v>11</v>
      </c>
      <c r="G405" s="2">
        <v>857.29</v>
      </c>
      <c r="H405" s="2">
        <v>9430.19</v>
      </c>
      <c r="I405" s="2">
        <v>7859.35</v>
      </c>
      <c r="J405" s="2">
        <v>1570.84</v>
      </c>
      <c r="K405" s="3">
        <v>45918</v>
      </c>
      <c r="L405" s="3">
        <v>45925</v>
      </c>
      <c r="M405" s="2" t="s">
        <v>33</v>
      </c>
      <c r="N405" s="2">
        <v>2</v>
      </c>
      <c r="O405" s="2" t="s">
        <v>1057</v>
      </c>
      <c r="P405" s="25">
        <v>8.1999999999999993</v>
      </c>
      <c r="Q405" t="str">
        <f t="shared" si="55"/>
        <v>0404</v>
      </c>
      <c r="R405" t="str">
        <f>IF('RETAIL SALES DATA.'!H405&gt;AVERAGE('RETAIL SALES DATA.'!H405:H1404),"HIGHEST VALUE","LOWEST VALUE")</f>
        <v>LOWEST VALUE</v>
      </c>
      <c r="S405" t="str">
        <f t="shared" si="56"/>
        <v>Profit</v>
      </c>
      <c r="T405" t="str">
        <f t="shared" si="57"/>
        <v>Darlene Garcia Md</v>
      </c>
      <c r="U405" t="str">
        <f t="shared" si="58"/>
        <v>Chair</v>
      </c>
      <c r="V405">
        <f t="shared" si="59"/>
        <v>2025</v>
      </c>
      <c r="W405">
        <f t="shared" si="60"/>
        <v>9</v>
      </c>
      <c r="X405">
        <f t="shared" si="61"/>
        <v>18</v>
      </c>
      <c r="Y405" t="str">
        <f t="shared" si="62"/>
        <v>Sep</v>
      </c>
      <c r="Z405">
        <f t="shared" si="63"/>
        <v>7</v>
      </c>
    </row>
    <row r="406" spans="1:26" ht="15.75" customHeight="1" x14ac:dyDescent="0.3">
      <c r="A406" s="2" t="s">
        <v>1058</v>
      </c>
      <c r="B406" s="2" t="s">
        <v>1059</v>
      </c>
      <c r="C406" s="2" t="s">
        <v>49</v>
      </c>
      <c r="D406" s="2" t="s">
        <v>43</v>
      </c>
      <c r="E406" s="2" t="s">
        <v>25</v>
      </c>
      <c r="F406" s="2">
        <v>7</v>
      </c>
      <c r="G406" s="2">
        <v>1681.64</v>
      </c>
      <c r="H406" s="2">
        <v>11771.48</v>
      </c>
      <c r="I406" s="2">
        <v>7999.83</v>
      </c>
      <c r="J406" s="2">
        <v>3771.65</v>
      </c>
      <c r="K406" s="3">
        <v>45444</v>
      </c>
      <c r="L406" s="3">
        <v>45454</v>
      </c>
      <c r="M406" s="2" t="s">
        <v>123</v>
      </c>
      <c r="N406" s="2">
        <v>2</v>
      </c>
      <c r="O406" s="2" t="s">
        <v>1060</v>
      </c>
      <c r="P406" s="25">
        <v>6.1</v>
      </c>
      <c r="Q406" t="str">
        <f t="shared" si="55"/>
        <v>0405</v>
      </c>
      <c r="R406" t="str">
        <f>IF('RETAIL SALES DATA.'!H406&gt;AVERAGE('RETAIL SALES DATA.'!H406:H1405),"HIGHEST VALUE","LOWEST VALUE")</f>
        <v>LOWEST VALUE</v>
      </c>
      <c r="S406" t="str">
        <f t="shared" si="56"/>
        <v>Profit</v>
      </c>
      <c r="T406" t="str">
        <f t="shared" si="57"/>
        <v>Robin Novak</v>
      </c>
      <c r="U406" t="str">
        <f t="shared" si="58"/>
        <v>Mouse</v>
      </c>
      <c r="V406">
        <f t="shared" si="59"/>
        <v>2024</v>
      </c>
      <c r="W406">
        <f t="shared" si="60"/>
        <v>6</v>
      </c>
      <c r="X406">
        <f t="shared" si="61"/>
        <v>1</v>
      </c>
      <c r="Y406" t="str">
        <f t="shared" si="62"/>
        <v>Jun</v>
      </c>
      <c r="Z406">
        <f t="shared" si="63"/>
        <v>10</v>
      </c>
    </row>
    <row r="407" spans="1:26" ht="15.75" customHeight="1" x14ac:dyDescent="0.3">
      <c r="A407" s="2" t="s">
        <v>1061</v>
      </c>
      <c r="B407" s="2" t="s">
        <v>1062</v>
      </c>
      <c r="C407" s="2" t="s">
        <v>62</v>
      </c>
      <c r="D407" s="2" t="s">
        <v>31</v>
      </c>
      <c r="E407" s="2" t="s">
        <v>25</v>
      </c>
      <c r="F407" s="2">
        <v>5</v>
      </c>
      <c r="G407" s="2">
        <v>1694.02</v>
      </c>
      <c r="H407" s="2">
        <v>8470.1</v>
      </c>
      <c r="I407" s="2">
        <v>5692.98</v>
      </c>
      <c r="J407" s="2">
        <v>2777.12</v>
      </c>
      <c r="K407" s="3">
        <v>46099</v>
      </c>
      <c r="L407" s="3">
        <v>46103</v>
      </c>
      <c r="M407" s="2" t="s">
        <v>33</v>
      </c>
      <c r="N407" s="2">
        <v>3</v>
      </c>
      <c r="O407" s="2" t="s">
        <v>145</v>
      </c>
      <c r="P407" s="25">
        <v>6.8</v>
      </c>
      <c r="Q407" t="str">
        <f t="shared" si="55"/>
        <v>0406</v>
      </c>
      <c r="R407" t="str">
        <f>IF('RETAIL SALES DATA.'!H407&gt;AVERAGE('RETAIL SALES DATA.'!H407:H1406),"HIGHEST VALUE","LOWEST VALUE")</f>
        <v>LOWEST VALUE</v>
      </c>
      <c r="S407" t="str">
        <f t="shared" si="56"/>
        <v>Profit</v>
      </c>
      <c r="T407" t="str">
        <f t="shared" si="57"/>
        <v>Justin Taylor</v>
      </c>
      <c r="U407" t="str">
        <f t="shared" si="58"/>
        <v>Table</v>
      </c>
      <c r="V407">
        <f t="shared" si="59"/>
        <v>2026</v>
      </c>
      <c r="W407">
        <f t="shared" si="60"/>
        <v>3</v>
      </c>
      <c r="X407">
        <f t="shared" si="61"/>
        <v>18</v>
      </c>
      <c r="Y407" t="str">
        <f t="shared" si="62"/>
        <v>Mar</v>
      </c>
      <c r="Z407">
        <f t="shared" si="63"/>
        <v>4</v>
      </c>
    </row>
    <row r="408" spans="1:26" ht="15.75" customHeight="1" x14ac:dyDescent="0.3">
      <c r="A408" s="2" t="s">
        <v>1063</v>
      </c>
      <c r="B408" s="2" t="s">
        <v>1064</v>
      </c>
      <c r="C408" s="2" t="s">
        <v>30</v>
      </c>
      <c r="D408" s="2" t="s">
        <v>31</v>
      </c>
      <c r="E408" s="2" t="s">
        <v>44</v>
      </c>
      <c r="F408" s="2">
        <v>7</v>
      </c>
      <c r="G408" s="2">
        <v>3932.42</v>
      </c>
      <c r="H408" s="2">
        <v>27526.94</v>
      </c>
      <c r="I408" s="2">
        <v>20033.25</v>
      </c>
      <c r="J408" s="2">
        <v>7493.69</v>
      </c>
      <c r="K408" s="3">
        <v>45663</v>
      </c>
      <c r="L408" s="3">
        <v>45664</v>
      </c>
      <c r="M408" s="2" t="s">
        <v>181</v>
      </c>
      <c r="N408" s="2">
        <v>4</v>
      </c>
      <c r="O408" s="2" t="s">
        <v>475</v>
      </c>
      <c r="P408" s="25">
        <v>7.5</v>
      </c>
      <c r="Q408" t="str">
        <f t="shared" si="55"/>
        <v>0407</v>
      </c>
      <c r="R408" t="str">
        <f>IF('RETAIL SALES DATA.'!H408&gt;AVERAGE('RETAIL SALES DATA.'!H408:H1407),"HIGHEST VALUE","LOWEST VALUE")</f>
        <v>HIGHEST VALUE</v>
      </c>
      <c r="S408" t="str">
        <f t="shared" si="56"/>
        <v>Profit</v>
      </c>
      <c r="T408" t="str">
        <f t="shared" si="57"/>
        <v>Ryan Kelley</v>
      </c>
      <c r="U408" t="str">
        <f t="shared" si="58"/>
        <v>Desk</v>
      </c>
      <c r="V408">
        <f t="shared" si="59"/>
        <v>2025</v>
      </c>
      <c r="W408">
        <f t="shared" si="60"/>
        <v>1</v>
      </c>
      <c r="X408">
        <f t="shared" si="61"/>
        <v>6</v>
      </c>
      <c r="Y408" t="str">
        <f t="shared" si="62"/>
        <v>Jan</v>
      </c>
      <c r="Z408">
        <f t="shared" si="63"/>
        <v>1</v>
      </c>
    </row>
    <row r="409" spans="1:26" ht="15.75" customHeight="1" x14ac:dyDescent="0.3">
      <c r="A409" s="2" t="s">
        <v>1065</v>
      </c>
      <c r="B409" s="2" t="s">
        <v>1066</v>
      </c>
      <c r="C409" s="2" t="s">
        <v>144</v>
      </c>
      <c r="D409" s="2" t="s">
        <v>19</v>
      </c>
      <c r="E409" s="2" t="s">
        <v>32</v>
      </c>
      <c r="F409" s="2">
        <v>13</v>
      </c>
      <c r="G409" s="2">
        <v>853.12</v>
      </c>
      <c r="H409" s="2">
        <v>11090.56</v>
      </c>
      <c r="I409" s="2">
        <v>6087.94</v>
      </c>
      <c r="J409" s="2">
        <v>5002.62</v>
      </c>
      <c r="K409" s="3">
        <v>45587</v>
      </c>
      <c r="L409" s="3">
        <v>45592</v>
      </c>
      <c r="M409" s="2" t="s">
        <v>33</v>
      </c>
      <c r="N409" s="2">
        <v>5</v>
      </c>
      <c r="O409" s="2" t="s">
        <v>1067</v>
      </c>
      <c r="P409" s="25">
        <v>7.6</v>
      </c>
      <c r="Q409" t="str">
        <f t="shared" si="55"/>
        <v>0408</v>
      </c>
      <c r="R409" t="str">
        <f>IF('RETAIL SALES DATA.'!H409&gt;AVERAGE('RETAIL SALES DATA.'!H409:H1408),"HIGHEST VALUE","LOWEST VALUE")</f>
        <v>LOWEST VALUE</v>
      </c>
      <c r="S409" t="str">
        <f t="shared" si="56"/>
        <v>Profit</v>
      </c>
      <c r="T409" t="str">
        <f t="shared" si="57"/>
        <v>Matthew Long</v>
      </c>
      <c r="U409" t="str">
        <f t="shared" si="58"/>
        <v>File</v>
      </c>
      <c r="V409">
        <f t="shared" si="59"/>
        <v>2024</v>
      </c>
      <c r="W409">
        <f t="shared" si="60"/>
        <v>10</v>
      </c>
      <c r="X409">
        <f t="shared" si="61"/>
        <v>22</v>
      </c>
      <c r="Y409" t="str">
        <f t="shared" si="62"/>
        <v>Oct</v>
      </c>
      <c r="Z409">
        <f t="shared" si="63"/>
        <v>5</v>
      </c>
    </row>
    <row r="410" spans="1:26" ht="15.75" customHeight="1" x14ac:dyDescent="0.3">
      <c r="A410" s="2" t="s">
        <v>1068</v>
      </c>
      <c r="B410" s="2" t="s">
        <v>1069</v>
      </c>
      <c r="C410" s="2" t="s">
        <v>37</v>
      </c>
      <c r="D410" s="2" t="s">
        <v>19</v>
      </c>
      <c r="E410" s="2" t="s">
        <v>20</v>
      </c>
      <c r="F410" s="2">
        <v>3</v>
      </c>
      <c r="G410" s="2">
        <v>1189.3900000000001</v>
      </c>
      <c r="H410" s="2">
        <v>3568.17</v>
      </c>
      <c r="I410" s="2">
        <v>2766.5</v>
      </c>
      <c r="J410" s="2">
        <v>801.67</v>
      </c>
      <c r="K410" s="3">
        <v>45522</v>
      </c>
      <c r="L410" s="3">
        <v>45525</v>
      </c>
      <c r="M410" s="2" t="s">
        <v>21</v>
      </c>
      <c r="N410" s="2">
        <v>5</v>
      </c>
      <c r="O410" s="2" t="s">
        <v>391</v>
      </c>
      <c r="P410" s="25">
        <v>6.8</v>
      </c>
      <c r="Q410" t="str">
        <f t="shared" si="55"/>
        <v>0409</v>
      </c>
      <c r="R410" t="str">
        <f>IF('RETAIL SALES DATA.'!H410&gt;AVERAGE('RETAIL SALES DATA.'!H410:H1409),"HIGHEST VALUE","LOWEST VALUE")</f>
        <v>LOWEST VALUE</v>
      </c>
      <c r="S410" t="str">
        <f t="shared" si="56"/>
        <v>Profit</v>
      </c>
      <c r="T410" t="str">
        <f t="shared" si="57"/>
        <v>Sheila Perez</v>
      </c>
      <c r="U410" t="str">
        <f t="shared" si="58"/>
        <v>Marker</v>
      </c>
      <c r="V410">
        <f t="shared" si="59"/>
        <v>2024</v>
      </c>
      <c r="W410">
        <f t="shared" si="60"/>
        <v>8</v>
      </c>
      <c r="X410">
        <f t="shared" si="61"/>
        <v>18</v>
      </c>
      <c r="Y410" t="str">
        <f t="shared" si="62"/>
        <v>Aug</v>
      </c>
      <c r="Z410">
        <f t="shared" si="63"/>
        <v>3</v>
      </c>
    </row>
    <row r="411" spans="1:26" ht="15.75" customHeight="1" x14ac:dyDescent="0.3">
      <c r="A411" s="2" t="s">
        <v>1070</v>
      </c>
      <c r="B411" s="2" t="s">
        <v>1071</v>
      </c>
      <c r="C411" s="2" t="s">
        <v>195</v>
      </c>
      <c r="D411" s="2" t="s">
        <v>43</v>
      </c>
      <c r="E411" s="2" t="s">
        <v>32</v>
      </c>
      <c r="F411" s="2">
        <v>12</v>
      </c>
      <c r="G411" s="2">
        <v>3649.76</v>
      </c>
      <c r="H411" s="2">
        <v>43797.120000000003</v>
      </c>
      <c r="I411" s="2">
        <v>27345.07</v>
      </c>
      <c r="J411" s="2">
        <v>16452.05</v>
      </c>
      <c r="K411" s="3">
        <v>45970</v>
      </c>
      <c r="L411" s="3">
        <v>45978</v>
      </c>
      <c r="M411" s="2" t="s">
        <v>26</v>
      </c>
      <c r="N411" s="2">
        <v>4</v>
      </c>
      <c r="O411" s="2" t="s">
        <v>232</v>
      </c>
      <c r="P411" s="25">
        <v>9</v>
      </c>
      <c r="Q411" t="str">
        <f t="shared" si="55"/>
        <v>0410</v>
      </c>
      <c r="R411" t="str">
        <f>IF('RETAIL SALES DATA.'!H411&gt;AVERAGE('RETAIL SALES DATA.'!H411:H1410),"HIGHEST VALUE","LOWEST VALUE")</f>
        <v>HIGHEST VALUE</v>
      </c>
      <c r="S411" t="str">
        <f t="shared" si="56"/>
        <v>Profit</v>
      </c>
      <c r="T411" t="str">
        <f t="shared" si="57"/>
        <v>Matthew Bennett</v>
      </c>
      <c r="U411" t="str">
        <f t="shared" si="58"/>
        <v>Monitor</v>
      </c>
      <c r="V411">
        <f t="shared" si="59"/>
        <v>2025</v>
      </c>
      <c r="W411">
        <f t="shared" si="60"/>
        <v>11</v>
      </c>
      <c r="X411">
        <f t="shared" si="61"/>
        <v>9</v>
      </c>
      <c r="Y411" t="str">
        <f t="shared" si="62"/>
        <v>Nov</v>
      </c>
      <c r="Z411">
        <f t="shared" si="63"/>
        <v>8</v>
      </c>
    </row>
    <row r="412" spans="1:26" ht="15.75" customHeight="1" x14ac:dyDescent="0.3">
      <c r="A412" s="2" t="s">
        <v>1072</v>
      </c>
      <c r="B412" s="2" t="s">
        <v>1073</v>
      </c>
      <c r="C412" s="2" t="s">
        <v>168</v>
      </c>
      <c r="D412" s="2" t="s">
        <v>43</v>
      </c>
      <c r="E412" s="2" t="s">
        <v>25</v>
      </c>
      <c r="F412" s="2">
        <v>10</v>
      </c>
      <c r="G412" s="2">
        <v>904.9</v>
      </c>
      <c r="H412" s="2">
        <v>9049</v>
      </c>
      <c r="I412" s="2">
        <v>4731.6099999999997</v>
      </c>
      <c r="J412" s="2">
        <v>4317.3900000000003</v>
      </c>
      <c r="K412" s="3">
        <v>45458</v>
      </c>
      <c r="L412" s="3">
        <v>45465</v>
      </c>
      <c r="M412" s="2" t="s">
        <v>123</v>
      </c>
      <c r="N412" s="2">
        <v>5</v>
      </c>
      <c r="O412" s="2" t="s">
        <v>580</v>
      </c>
      <c r="P412" s="25">
        <v>7.5</v>
      </c>
      <c r="Q412" t="str">
        <f t="shared" si="55"/>
        <v>0411</v>
      </c>
      <c r="R412" t="str">
        <f>IF('RETAIL SALES DATA.'!H412&gt;AVERAGE('RETAIL SALES DATA.'!H412:H1411),"HIGHEST VALUE","LOWEST VALUE")</f>
        <v>LOWEST VALUE</v>
      </c>
      <c r="S412" t="str">
        <f t="shared" si="56"/>
        <v>Profit</v>
      </c>
      <c r="T412" t="str">
        <f t="shared" si="57"/>
        <v>Kristin Robinson</v>
      </c>
      <c r="U412" t="str">
        <f t="shared" si="58"/>
        <v>Keyboard</v>
      </c>
      <c r="V412">
        <f t="shared" si="59"/>
        <v>2024</v>
      </c>
      <c r="W412">
        <f t="shared" si="60"/>
        <v>6</v>
      </c>
      <c r="X412">
        <f t="shared" si="61"/>
        <v>15</v>
      </c>
      <c r="Y412" t="str">
        <f t="shared" si="62"/>
        <v>Jun</v>
      </c>
      <c r="Z412">
        <f t="shared" si="63"/>
        <v>7</v>
      </c>
    </row>
    <row r="413" spans="1:26" ht="15.75" customHeight="1" x14ac:dyDescent="0.3">
      <c r="A413" s="2" t="s">
        <v>1074</v>
      </c>
      <c r="B413" s="2" t="s">
        <v>1075</v>
      </c>
      <c r="C413" s="2" t="s">
        <v>42</v>
      </c>
      <c r="D413" s="2" t="s">
        <v>43</v>
      </c>
      <c r="E413" s="2" t="s">
        <v>20</v>
      </c>
      <c r="F413" s="2">
        <v>16</v>
      </c>
      <c r="G413" s="2">
        <v>4878.66</v>
      </c>
      <c r="H413" s="2">
        <v>78058.559999999998</v>
      </c>
      <c r="I413" s="2">
        <v>66345.23</v>
      </c>
      <c r="J413" s="2">
        <v>11713.33</v>
      </c>
      <c r="K413" s="3">
        <v>45535</v>
      </c>
      <c r="L413" s="3">
        <v>45543</v>
      </c>
      <c r="M413" s="2" t="s">
        <v>26</v>
      </c>
      <c r="N413" s="2">
        <v>3</v>
      </c>
      <c r="O413" s="2" t="s">
        <v>27</v>
      </c>
      <c r="P413" s="25">
        <v>7.7</v>
      </c>
      <c r="Q413" t="str">
        <f t="shared" si="55"/>
        <v>0412</v>
      </c>
      <c r="R413" t="str">
        <f>IF('RETAIL SALES DATA.'!H413&gt;AVERAGE('RETAIL SALES DATA.'!H413:H1412),"HIGHEST VALUE","LOWEST VALUE")</f>
        <v>HIGHEST VALUE</v>
      </c>
      <c r="S413" t="str">
        <f t="shared" si="56"/>
        <v>Profit</v>
      </c>
      <c r="T413" t="str">
        <f t="shared" si="57"/>
        <v>Autumn Harrison</v>
      </c>
      <c r="U413" t="str">
        <f t="shared" si="58"/>
        <v>Laptop</v>
      </c>
      <c r="V413">
        <f t="shared" si="59"/>
        <v>2024</v>
      </c>
      <c r="W413">
        <f t="shared" si="60"/>
        <v>9</v>
      </c>
      <c r="X413">
        <f t="shared" si="61"/>
        <v>31</v>
      </c>
      <c r="Y413" t="str">
        <f t="shared" si="62"/>
        <v>Aug</v>
      </c>
      <c r="Z413">
        <f t="shared" si="63"/>
        <v>8</v>
      </c>
    </row>
    <row r="414" spans="1:26" ht="15.75" customHeight="1" x14ac:dyDescent="0.3">
      <c r="A414" s="2" t="s">
        <v>1076</v>
      </c>
      <c r="B414" s="2" t="s">
        <v>1077</v>
      </c>
      <c r="C414" s="2" t="s">
        <v>219</v>
      </c>
      <c r="D414" s="2" t="s">
        <v>43</v>
      </c>
      <c r="E414" s="2" t="s">
        <v>44</v>
      </c>
      <c r="F414" s="2">
        <v>9</v>
      </c>
      <c r="G414" s="2">
        <v>4739.7299999999996</v>
      </c>
      <c r="H414" s="2">
        <v>42657.57</v>
      </c>
      <c r="I414" s="2">
        <v>30591.24</v>
      </c>
      <c r="J414" s="2">
        <v>12066.33</v>
      </c>
      <c r="K414" s="3">
        <v>45574</v>
      </c>
      <c r="L414" s="3">
        <v>45580</v>
      </c>
      <c r="M414" s="2" t="s">
        <v>69</v>
      </c>
      <c r="N414" s="2">
        <v>3</v>
      </c>
      <c r="O414" s="2" t="s">
        <v>715</v>
      </c>
      <c r="P414" s="25">
        <v>7.7</v>
      </c>
      <c r="Q414" t="str">
        <f t="shared" si="55"/>
        <v>0413</v>
      </c>
      <c r="R414" t="str">
        <f>IF('RETAIL SALES DATA.'!H414&gt;AVERAGE('RETAIL SALES DATA.'!H414:H1413),"HIGHEST VALUE","LOWEST VALUE")</f>
        <v>HIGHEST VALUE</v>
      </c>
      <c r="S414" t="str">
        <f t="shared" si="56"/>
        <v>Profit</v>
      </c>
      <c r="T414" t="str">
        <f t="shared" si="57"/>
        <v>Stephanie Miller</v>
      </c>
      <c r="U414" t="str">
        <f t="shared" si="58"/>
        <v>Smartphone</v>
      </c>
      <c r="V414">
        <f t="shared" si="59"/>
        <v>2024</v>
      </c>
      <c r="W414">
        <f t="shared" si="60"/>
        <v>10</v>
      </c>
      <c r="X414">
        <f t="shared" si="61"/>
        <v>9</v>
      </c>
      <c r="Y414" t="str">
        <f t="shared" si="62"/>
        <v>Oct</v>
      </c>
      <c r="Z414">
        <f t="shared" si="63"/>
        <v>6</v>
      </c>
    </row>
    <row r="415" spans="1:26" ht="15.75" customHeight="1" x14ac:dyDescent="0.3">
      <c r="A415" s="2" t="s">
        <v>1078</v>
      </c>
      <c r="B415" s="2" t="s">
        <v>1079</v>
      </c>
      <c r="C415" s="2" t="s">
        <v>62</v>
      </c>
      <c r="D415" s="2" t="s">
        <v>31</v>
      </c>
      <c r="E415" s="2" t="s">
        <v>25</v>
      </c>
      <c r="F415" s="2">
        <v>15</v>
      </c>
      <c r="G415" s="2">
        <v>1826.98</v>
      </c>
      <c r="H415" s="2">
        <v>27404.7</v>
      </c>
      <c r="I415" s="2">
        <v>13817.55</v>
      </c>
      <c r="J415" s="2">
        <v>13587.15</v>
      </c>
      <c r="K415" s="3">
        <v>45751</v>
      </c>
      <c r="L415" s="3">
        <v>45761</v>
      </c>
      <c r="M415" s="2" t="s">
        <v>50</v>
      </c>
      <c r="N415" s="2">
        <v>5</v>
      </c>
      <c r="O415" s="2" t="s">
        <v>351</v>
      </c>
      <c r="P415" s="25">
        <v>6.5</v>
      </c>
      <c r="Q415" t="str">
        <f t="shared" si="55"/>
        <v>0414</v>
      </c>
      <c r="R415" t="str">
        <f>IF('RETAIL SALES DATA.'!H415&gt;AVERAGE('RETAIL SALES DATA.'!H415:H1414),"HIGHEST VALUE","LOWEST VALUE")</f>
        <v>HIGHEST VALUE</v>
      </c>
      <c r="S415" t="str">
        <f t="shared" si="56"/>
        <v>Profit</v>
      </c>
      <c r="T415" t="str">
        <f t="shared" si="57"/>
        <v>Shaun Smith</v>
      </c>
      <c r="U415" t="str">
        <f t="shared" si="58"/>
        <v>Table</v>
      </c>
      <c r="V415">
        <f t="shared" si="59"/>
        <v>2025</v>
      </c>
      <c r="W415">
        <f t="shared" si="60"/>
        <v>4</v>
      </c>
      <c r="X415">
        <f t="shared" si="61"/>
        <v>4</v>
      </c>
      <c r="Y415" t="str">
        <f t="shared" si="62"/>
        <v>Apr</v>
      </c>
      <c r="Z415">
        <f t="shared" si="63"/>
        <v>10</v>
      </c>
    </row>
    <row r="416" spans="1:26" ht="15.75" customHeight="1" x14ac:dyDescent="0.3">
      <c r="A416" s="2" t="s">
        <v>1080</v>
      </c>
      <c r="B416" s="2" t="s">
        <v>1081</v>
      </c>
      <c r="C416" s="2" t="s">
        <v>88</v>
      </c>
      <c r="D416" s="2" t="s">
        <v>31</v>
      </c>
      <c r="E416" s="2" t="s">
        <v>44</v>
      </c>
      <c r="F416" s="2">
        <v>1</v>
      </c>
      <c r="G416" s="2">
        <v>767.98</v>
      </c>
      <c r="H416" s="2">
        <v>767.98</v>
      </c>
      <c r="I416" s="2">
        <v>400.44</v>
      </c>
      <c r="J416" s="2">
        <v>367.54</v>
      </c>
      <c r="K416" s="3">
        <v>45712</v>
      </c>
      <c r="L416" s="3">
        <v>45722</v>
      </c>
      <c r="M416" s="2" t="s">
        <v>26</v>
      </c>
      <c r="N416" s="2">
        <v>1</v>
      </c>
      <c r="O416" s="2" t="s">
        <v>348</v>
      </c>
      <c r="P416" s="25">
        <v>7.4</v>
      </c>
      <c r="Q416" t="str">
        <f t="shared" si="55"/>
        <v>0415</v>
      </c>
      <c r="R416" t="str">
        <f>IF('RETAIL SALES DATA.'!H416&gt;AVERAGE('RETAIL SALES DATA.'!H416:H1415),"HIGHEST VALUE","LOWEST VALUE")</f>
        <v>LOWEST VALUE</v>
      </c>
      <c r="S416" t="str">
        <f t="shared" si="56"/>
        <v>Profit</v>
      </c>
      <c r="T416" t="str">
        <f t="shared" si="57"/>
        <v>Christine Luna</v>
      </c>
      <c r="U416" t="str">
        <f t="shared" si="58"/>
        <v>Cupboard</v>
      </c>
      <c r="V416">
        <f t="shared" si="59"/>
        <v>2025</v>
      </c>
      <c r="W416">
        <f t="shared" si="60"/>
        <v>3</v>
      </c>
      <c r="X416">
        <f t="shared" si="61"/>
        <v>24</v>
      </c>
      <c r="Y416" t="str">
        <f t="shared" si="62"/>
        <v>Feb</v>
      </c>
      <c r="Z416">
        <f t="shared" si="63"/>
        <v>10</v>
      </c>
    </row>
    <row r="417" spans="1:26" ht="15.75" customHeight="1" x14ac:dyDescent="0.3">
      <c r="A417" s="2" t="s">
        <v>1082</v>
      </c>
      <c r="B417" s="2" t="s">
        <v>1083</v>
      </c>
      <c r="C417" s="2" t="s">
        <v>72</v>
      </c>
      <c r="D417" s="2" t="s">
        <v>31</v>
      </c>
      <c r="E417" s="2" t="s">
        <v>20</v>
      </c>
      <c r="F417" s="2">
        <v>19</v>
      </c>
      <c r="G417" s="2">
        <v>345.31</v>
      </c>
      <c r="H417" s="2">
        <v>6560.89</v>
      </c>
      <c r="I417" s="2">
        <v>5534.47</v>
      </c>
      <c r="J417" s="2">
        <v>1026.42</v>
      </c>
      <c r="K417" s="3">
        <v>45452</v>
      </c>
      <c r="L417" s="3">
        <v>45458</v>
      </c>
      <c r="M417" s="2" t="s">
        <v>69</v>
      </c>
      <c r="N417" s="2">
        <v>1</v>
      </c>
      <c r="O417" s="2" t="s">
        <v>223</v>
      </c>
      <c r="P417" s="25">
        <v>8.6999999999999993</v>
      </c>
      <c r="Q417" t="str">
        <f t="shared" si="55"/>
        <v>0416</v>
      </c>
      <c r="R417" t="str">
        <f>IF('RETAIL SALES DATA.'!H417&gt;AVERAGE('RETAIL SALES DATA.'!H417:H1416),"HIGHEST VALUE","LOWEST VALUE")</f>
        <v>LOWEST VALUE</v>
      </c>
      <c r="S417" t="str">
        <f t="shared" si="56"/>
        <v>Profit</v>
      </c>
      <c r="T417" t="str">
        <f t="shared" si="57"/>
        <v>Wendy Lee</v>
      </c>
      <c r="U417" t="str">
        <f t="shared" si="58"/>
        <v>Chair</v>
      </c>
      <c r="V417">
        <f t="shared" si="59"/>
        <v>2024</v>
      </c>
      <c r="W417">
        <f t="shared" si="60"/>
        <v>6</v>
      </c>
      <c r="X417">
        <f t="shared" si="61"/>
        <v>9</v>
      </c>
      <c r="Y417" t="str">
        <f t="shared" si="62"/>
        <v>Jun</v>
      </c>
      <c r="Z417">
        <f t="shared" si="63"/>
        <v>6</v>
      </c>
    </row>
    <row r="418" spans="1:26" ht="15.75" customHeight="1" x14ac:dyDescent="0.3">
      <c r="A418" s="2" t="s">
        <v>1084</v>
      </c>
      <c r="B418" s="2" t="s">
        <v>1085</v>
      </c>
      <c r="C418" s="2" t="s">
        <v>95</v>
      </c>
      <c r="D418" s="2" t="s">
        <v>19</v>
      </c>
      <c r="E418" s="2" t="s">
        <v>25</v>
      </c>
      <c r="F418" s="2">
        <v>7</v>
      </c>
      <c r="G418" s="2">
        <v>3853.98</v>
      </c>
      <c r="H418" s="2">
        <v>26977.86</v>
      </c>
      <c r="I418" s="2">
        <v>19569.650000000001</v>
      </c>
      <c r="J418" s="2">
        <v>7408.21</v>
      </c>
      <c r="K418" s="3">
        <v>45758</v>
      </c>
      <c r="L418" s="3">
        <v>45768</v>
      </c>
      <c r="M418" s="2" t="s">
        <v>50</v>
      </c>
      <c r="N418" s="2">
        <v>2</v>
      </c>
      <c r="O418" s="2" t="s">
        <v>1086</v>
      </c>
      <c r="P418" s="25">
        <v>6.5</v>
      </c>
      <c r="Q418" t="str">
        <f t="shared" si="55"/>
        <v>0417</v>
      </c>
      <c r="R418" t="str">
        <f>IF('RETAIL SALES DATA.'!H418&gt;AVERAGE('RETAIL SALES DATA.'!H418:H1417),"HIGHEST VALUE","LOWEST VALUE")</f>
        <v>HIGHEST VALUE</v>
      </c>
      <c r="S418" t="str">
        <f t="shared" si="56"/>
        <v>Profit</v>
      </c>
      <c r="T418" t="str">
        <f t="shared" si="57"/>
        <v>Megan Vasquez</v>
      </c>
      <c r="U418" t="str">
        <f t="shared" si="58"/>
        <v>Printer</v>
      </c>
      <c r="V418">
        <f t="shared" si="59"/>
        <v>2025</v>
      </c>
      <c r="W418">
        <f t="shared" si="60"/>
        <v>4</v>
      </c>
      <c r="X418">
        <f t="shared" si="61"/>
        <v>11</v>
      </c>
      <c r="Y418" t="str">
        <f t="shared" si="62"/>
        <v>Apr</v>
      </c>
      <c r="Z418">
        <f t="shared" si="63"/>
        <v>10</v>
      </c>
    </row>
    <row r="419" spans="1:26" ht="15.75" customHeight="1" x14ac:dyDescent="0.3">
      <c r="A419" s="2" t="s">
        <v>1087</v>
      </c>
      <c r="B419" s="2" t="s">
        <v>1088</v>
      </c>
      <c r="C419" s="2" t="s">
        <v>144</v>
      </c>
      <c r="D419" s="2" t="s">
        <v>19</v>
      </c>
      <c r="E419" s="2" t="s">
        <v>20</v>
      </c>
      <c r="F419" s="2">
        <v>2</v>
      </c>
      <c r="G419" s="2">
        <v>3047.23</v>
      </c>
      <c r="H419" s="2">
        <v>6094.46</v>
      </c>
      <c r="I419" s="2">
        <v>5387.65</v>
      </c>
      <c r="J419" s="2">
        <v>706.81</v>
      </c>
      <c r="K419" s="3">
        <v>45700</v>
      </c>
      <c r="L419" s="3">
        <v>45708</v>
      </c>
      <c r="M419" s="2" t="s">
        <v>69</v>
      </c>
      <c r="N419" s="2">
        <v>5</v>
      </c>
      <c r="O419" s="2" t="s">
        <v>455</v>
      </c>
      <c r="P419" s="25">
        <v>8.8000000000000007</v>
      </c>
      <c r="Q419" t="str">
        <f t="shared" si="55"/>
        <v>0418</v>
      </c>
      <c r="R419" t="str">
        <f>IF('RETAIL SALES DATA.'!H419&gt;AVERAGE('RETAIL SALES DATA.'!H419:H1418),"HIGHEST VALUE","LOWEST VALUE")</f>
        <v>LOWEST VALUE</v>
      </c>
      <c r="S419" t="str">
        <f t="shared" si="56"/>
        <v>Profit</v>
      </c>
      <c r="T419" t="str">
        <f t="shared" si="57"/>
        <v>Anthony Gordon</v>
      </c>
      <c r="U419" t="str">
        <f t="shared" si="58"/>
        <v>File</v>
      </c>
      <c r="V419">
        <f t="shared" si="59"/>
        <v>2025</v>
      </c>
      <c r="W419">
        <f t="shared" si="60"/>
        <v>2</v>
      </c>
      <c r="X419">
        <f t="shared" si="61"/>
        <v>12</v>
      </c>
      <c r="Y419" t="str">
        <f t="shared" si="62"/>
        <v>Feb</v>
      </c>
      <c r="Z419">
        <f t="shared" si="63"/>
        <v>8</v>
      </c>
    </row>
    <row r="420" spans="1:26" ht="15.75" customHeight="1" x14ac:dyDescent="0.3">
      <c r="A420" s="2" t="s">
        <v>1089</v>
      </c>
      <c r="B420" s="2" t="s">
        <v>1090</v>
      </c>
      <c r="C420" s="2" t="s">
        <v>72</v>
      </c>
      <c r="D420" s="2" t="s">
        <v>31</v>
      </c>
      <c r="E420" s="2" t="s">
        <v>25</v>
      </c>
      <c r="F420" s="2">
        <v>20</v>
      </c>
      <c r="G420" s="2">
        <v>2426.81</v>
      </c>
      <c r="H420" s="2">
        <v>48536.2</v>
      </c>
      <c r="I420" s="2">
        <v>39874.53</v>
      </c>
      <c r="J420" s="2">
        <v>8661.67</v>
      </c>
      <c r="K420" s="3">
        <v>45590</v>
      </c>
      <c r="L420" s="3">
        <v>45591</v>
      </c>
      <c r="M420" s="2" t="s">
        <v>26</v>
      </c>
      <c r="N420" s="2">
        <v>5</v>
      </c>
      <c r="O420" s="2" t="s">
        <v>59</v>
      </c>
      <c r="P420" s="25">
        <v>9.6999999999999993</v>
      </c>
      <c r="Q420" t="str">
        <f t="shared" si="55"/>
        <v>0419</v>
      </c>
      <c r="R420" t="str">
        <f>IF('RETAIL SALES DATA.'!H420&gt;AVERAGE('RETAIL SALES DATA.'!H420:H1419),"HIGHEST VALUE","LOWEST VALUE")</f>
        <v>HIGHEST VALUE</v>
      </c>
      <c r="S420" t="str">
        <f t="shared" si="56"/>
        <v>Profit</v>
      </c>
      <c r="T420" t="str">
        <f t="shared" si="57"/>
        <v>Mrs. Emma Bradford</v>
      </c>
      <c r="U420" t="str">
        <f t="shared" si="58"/>
        <v>Chair</v>
      </c>
      <c r="V420">
        <f t="shared" si="59"/>
        <v>2024</v>
      </c>
      <c r="W420">
        <f t="shared" si="60"/>
        <v>10</v>
      </c>
      <c r="X420">
        <f t="shared" si="61"/>
        <v>25</v>
      </c>
      <c r="Y420" t="str">
        <f t="shared" si="62"/>
        <v>Oct</v>
      </c>
      <c r="Z420">
        <f t="shared" si="63"/>
        <v>1</v>
      </c>
    </row>
    <row r="421" spans="1:26" ht="15.75" customHeight="1" x14ac:dyDescent="0.3">
      <c r="A421" s="2" t="s">
        <v>1091</v>
      </c>
      <c r="B421" s="2" t="s">
        <v>1092</v>
      </c>
      <c r="C421" s="2" t="s">
        <v>95</v>
      </c>
      <c r="D421" s="2" t="s">
        <v>19</v>
      </c>
      <c r="E421" s="2" t="s">
        <v>25</v>
      </c>
      <c r="F421" s="2">
        <v>8</v>
      </c>
      <c r="G421" s="2">
        <v>1914.2</v>
      </c>
      <c r="H421" s="2">
        <v>15313.6</v>
      </c>
      <c r="I421" s="2">
        <v>11740.99</v>
      </c>
      <c r="J421" s="2">
        <v>3572.61</v>
      </c>
      <c r="K421" s="3">
        <v>45841</v>
      </c>
      <c r="L421" s="3">
        <v>45850</v>
      </c>
      <c r="M421" s="2" t="s">
        <v>21</v>
      </c>
      <c r="N421" s="2">
        <v>2</v>
      </c>
      <c r="O421" s="2" t="s">
        <v>1093</v>
      </c>
      <c r="P421" s="25">
        <v>6.5</v>
      </c>
      <c r="Q421" t="str">
        <f t="shared" si="55"/>
        <v>0420</v>
      </c>
      <c r="R421" t="str">
        <f>IF('RETAIL SALES DATA.'!H421&gt;AVERAGE('RETAIL SALES DATA.'!H421:H1420),"HIGHEST VALUE","LOWEST VALUE")</f>
        <v>LOWEST VALUE</v>
      </c>
      <c r="S421" t="str">
        <f t="shared" si="56"/>
        <v>Profit</v>
      </c>
      <c r="T421" t="str">
        <f t="shared" si="57"/>
        <v>Kenneth Schmidt</v>
      </c>
      <c r="U421" t="str">
        <f t="shared" si="58"/>
        <v>Printer</v>
      </c>
      <c r="V421">
        <f t="shared" si="59"/>
        <v>2025</v>
      </c>
      <c r="W421">
        <f t="shared" si="60"/>
        <v>7</v>
      </c>
      <c r="X421">
        <f t="shared" si="61"/>
        <v>3</v>
      </c>
      <c r="Y421" t="str">
        <f t="shared" si="62"/>
        <v>Jul</v>
      </c>
      <c r="Z421">
        <f t="shared" si="63"/>
        <v>9</v>
      </c>
    </row>
    <row r="422" spans="1:26" ht="15.75" customHeight="1" x14ac:dyDescent="0.3">
      <c r="A422" s="2" t="s">
        <v>1094</v>
      </c>
      <c r="B422" s="2" t="s">
        <v>1095</v>
      </c>
      <c r="C422" s="2" t="s">
        <v>95</v>
      </c>
      <c r="D422" s="2" t="s">
        <v>19</v>
      </c>
      <c r="E422" s="2" t="s">
        <v>44</v>
      </c>
      <c r="F422" s="2">
        <v>17</v>
      </c>
      <c r="G422" s="2">
        <v>3148.59</v>
      </c>
      <c r="H422" s="2">
        <v>53526.03</v>
      </c>
      <c r="I422" s="2">
        <v>29322.09</v>
      </c>
      <c r="J422" s="2">
        <v>24203.94</v>
      </c>
      <c r="K422" s="3">
        <v>45443</v>
      </c>
      <c r="L422" s="3">
        <v>45444</v>
      </c>
      <c r="M422" s="2" t="s">
        <v>26</v>
      </c>
      <c r="N422" s="2">
        <v>1</v>
      </c>
      <c r="O422" s="2" t="s">
        <v>1096</v>
      </c>
      <c r="P422" s="25">
        <v>9.5</v>
      </c>
      <c r="Q422" t="str">
        <f t="shared" si="55"/>
        <v>0421</v>
      </c>
      <c r="R422" t="str">
        <f>IF('RETAIL SALES DATA.'!H422&gt;AVERAGE('RETAIL SALES DATA.'!H422:H1421),"HIGHEST VALUE","LOWEST VALUE")</f>
        <v>HIGHEST VALUE</v>
      </c>
      <c r="S422" t="str">
        <f t="shared" si="56"/>
        <v>Profit</v>
      </c>
      <c r="T422" t="str">
        <f t="shared" si="57"/>
        <v>Sara Johnson</v>
      </c>
      <c r="U422" t="str">
        <f t="shared" si="58"/>
        <v>Printer</v>
      </c>
      <c r="V422">
        <f t="shared" si="59"/>
        <v>2024</v>
      </c>
      <c r="W422">
        <f t="shared" si="60"/>
        <v>6</v>
      </c>
      <c r="X422">
        <f t="shared" si="61"/>
        <v>31</v>
      </c>
      <c r="Y422" t="str">
        <f t="shared" si="62"/>
        <v>May</v>
      </c>
      <c r="Z422">
        <f t="shared" si="63"/>
        <v>1</v>
      </c>
    </row>
    <row r="423" spans="1:26" ht="15.75" customHeight="1" x14ac:dyDescent="0.3">
      <c r="A423" s="2" t="s">
        <v>1097</v>
      </c>
      <c r="B423" s="2" t="s">
        <v>1098</v>
      </c>
      <c r="C423" s="2" t="s">
        <v>95</v>
      </c>
      <c r="D423" s="2" t="s">
        <v>19</v>
      </c>
      <c r="E423" s="2" t="s">
        <v>32</v>
      </c>
      <c r="F423" s="2">
        <v>8</v>
      </c>
      <c r="G423" s="2">
        <v>4664.07</v>
      </c>
      <c r="H423" s="2">
        <v>37312.559999999998</v>
      </c>
      <c r="I423" s="2">
        <v>24274.01</v>
      </c>
      <c r="J423" s="2">
        <v>13038.55</v>
      </c>
      <c r="K423" s="3">
        <v>45948</v>
      </c>
      <c r="L423" s="3">
        <v>45950</v>
      </c>
      <c r="M423" s="2" t="s">
        <v>38</v>
      </c>
      <c r="N423" s="2">
        <v>2</v>
      </c>
      <c r="O423" s="2" t="s">
        <v>359</v>
      </c>
      <c r="P423" s="25">
        <v>8.1999999999999993</v>
      </c>
      <c r="Q423" t="str">
        <f t="shared" si="55"/>
        <v>0422</v>
      </c>
      <c r="R423" t="str">
        <f>IF('RETAIL SALES DATA.'!H423&gt;AVERAGE('RETAIL SALES DATA.'!H423:H1422),"HIGHEST VALUE","LOWEST VALUE")</f>
        <v>HIGHEST VALUE</v>
      </c>
      <c r="S423" t="str">
        <f t="shared" si="56"/>
        <v>Profit</v>
      </c>
      <c r="T423" t="str">
        <f t="shared" si="57"/>
        <v>Jessica Terry</v>
      </c>
      <c r="U423" t="str">
        <f t="shared" si="58"/>
        <v>Printer</v>
      </c>
      <c r="V423">
        <f t="shared" si="59"/>
        <v>2025</v>
      </c>
      <c r="W423">
        <f t="shared" si="60"/>
        <v>10</v>
      </c>
      <c r="X423">
        <f t="shared" si="61"/>
        <v>18</v>
      </c>
      <c r="Y423" t="str">
        <f t="shared" si="62"/>
        <v>Oct</v>
      </c>
      <c r="Z423">
        <f t="shared" si="63"/>
        <v>2</v>
      </c>
    </row>
    <row r="424" spans="1:26" ht="15.75" customHeight="1" x14ac:dyDescent="0.3">
      <c r="A424" s="2" t="s">
        <v>1099</v>
      </c>
      <c r="B424" s="2" t="s">
        <v>1100</v>
      </c>
      <c r="C424" s="2" t="s">
        <v>72</v>
      </c>
      <c r="D424" s="2" t="s">
        <v>31</v>
      </c>
      <c r="E424" s="2" t="s">
        <v>25</v>
      </c>
      <c r="F424" s="2">
        <v>1</v>
      </c>
      <c r="G424" s="2">
        <v>3263.12</v>
      </c>
      <c r="H424" s="2">
        <v>3263.12</v>
      </c>
      <c r="I424" s="2">
        <v>1875.32</v>
      </c>
      <c r="J424" s="2">
        <v>1387.8</v>
      </c>
      <c r="K424" s="3">
        <v>46097</v>
      </c>
      <c r="L424" s="3">
        <v>46107</v>
      </c>
      <c r="M424" s="2" t="s">
        <v>21</v>
      </c>
      <c r="N424" s="2">
        <v>4</v>
      </c>
      <c r="O424" s="2" t="s">
        <v>746</v>
      </c>
      <c r="P424" s="25">
        <v>6.9</v>
      </c>
      <c r="Q424" t="str">
        <f t="shared" si="55"/>
        <v>0423</v>
      </c>
      <c r="R424" t="str">
        <f>IF('RETAIL SALES DATA.'!H424&gt;AVERAGE('RETAIL SALES DATA.'!H424:H1423),"HIGHEST VALUE","LOWEST VALUE")</f>
        <v>LOWEST VALUE</v>
      </c>
      <c r="S424" t="str">
        <f t="shared" si="56"/>
        <v>Profit</v>
      </c>
      <c r="T424" t="str">
        <f t="shared" si="57"/>
        <v>Jennifer Maldonado</v>
      </c>
      <c r="U424" t="str">
        <f t="shared" si="58"/>
        <v>Chair</v>
      </c>
      <c r="V424">
        <f t="shared" si="59"/>
        <v>2026</v>
      </c>
      <c r="W424">
        <f t="shared" si="60"/>
        <v>3</v>
      </c>
      <c r="X424">
        <f t="shared" si="61"/>
        <v>16</v>
      </c>
      <c r="Y424" t="str">
        <f t="shared" si="62"/>
        <v>Mar</v>
      </c>
      <c r="Z424">
        <f t="shared" si="63"/>
        <v>10</v>
      </c>
    </row>
    <row r="425" spans="1:26" ht="15.75" customHeight="1" x14ac:dyDescent="0.3">
      <c r="A425" s="2" t="s">
        <v>1101</v>
      </c>
      <c r="B425" s="2" t="s">
        <v>1102</v>
      </c>
      <c r="C425" s="2" t="s">
        <v>37</v>
      </c>
      <c r="D425" s="2" t="s">
        <v>19</v>
      </c>
      <c r="E425" s="2" t="s">
        <v>32</v>
      </c>
      <c r="F425" s="2">
        <v>5</v>
      </c>
      <c r="G425" s="2">
        <v>2834.11</v>
      </c>
      <c r="H425" s="2">
        <v>14170.55</v>
      </c>
      <c r="I425" s="2">
        <v>8055.92</v>
      </c>
      <c r="J425" s="2">
        <v>6114.63</v>
      </c>
      <c r="K425" s="3">
        <v>46001</v>
      </c>
      <c r="L425" s="3">
        <v>46008</v>
      </c>
      <c r="M425" s="2" t="s">
        <v>50</v>
      </c>
      <c r="N425" s="2">
        <v>2</v>
      </c>
      <c r="O425" s="2" t="s">
        <v>1103</v>
      </c>
      <c r="P425" s="25">
        <v>7.3</v>
      </c>
      <c r="Q425" t="str">
        <f t="shared" si="55"/>
        <v>0424</v>
      </c>
      <c r="R425" t="str">
        <f>IF('RETAIL SALES DATA.'!H425&gt;AVERAGE('RETAIL SALES DATA.'!H425:H1424),"HIGHEST VALUE","LOWEST VALUE")</f>
        <v>LOWEST VALUE</v>
      </c>
      <c r="S425" t="str">
        <f t="shared" si="56"/>
        <v>Profit</v>
      </c>
      <c r="T425" t="str">
        <f t="shared" si="57"/>
        <v>Julie Sutton Dvm</v>
      </c>
      <c r="U425" t="str">
        <f t="shared" si="58"/>
        <v>Marker</v>
      </c>
      <c r="V425">
        <f t="shared" si="59"/>
        <v>2025</v>
      </c>
      <c r="W425">
        <f t="shared" si="60"/>
        <v>12</v>
      </c>
      <c r="X425">
        <f t="shared" si="61"/>
        <v>10</v>
      </c>
      <c r="Y425" t="str">
        <f t="shared" si="62"/>
        <v>Dec</v>
      </c>
      <c r="Z425">
        <f t="shared" si="63"/>
        <v>7</v>
      </c>
    </row>
    <row r="426" spans="1:26" ht="15.75" customHeight="1" x14ac:dyDescent="0.3">
      <c r="A426" s="2" t="s">
        <v>1104</v>
      </c>
      <c r="B426" s="2" t="s">
        <v>1105</v>
      </c>
      <c r="C426" s="2" t="s">
        <v>88</v>
      </c>
      <c r="D426" s="2" t="s">
        <v>31</v>
      </c>
      <c r="E426" s="2" t="s">
        <v>20</v>
      </c>
      <c r="F426" s="2">
        <v>17</v>
      </c>
      <c r="G426" s="2">
        <v>4730.74</v>
      </c>
      <c r="H426" s="2">
        <v>80422.58</v>
      </c>
      <c r="I426" s="2">
        <v>57594.69</v>
      </c>
      <c r="J426" s="2">
        <v>22827.89</v>
      </c>
      <c r="K426" s="3">
        <v>45625</v>
      </c>
      <c r="L426" s="3">
        <v>45627</v>
      </c>
      <c r="M426" s="2" t="s">
        <v>21</v>
      </c>
      <c r="N426" s="2">
        <v>2</v>
      </c>
      <c r="O426" s="2" t="s">
        <v>741</v>
      </c>
      <c r="P426" s="25">
        <v>7.7</v>
      </c>
      <c r="Q426" t="str">
        <f t="shared" si="55"/>
        <v>0425</v>
      </c>
      <c r="R426" t="str">
        <f>IF('RETAIL SALES DATA.'!H426&gt;AVERAGE('RETAIL SALES DATA.'!H426:H1425),"HIGHEST VALUE","LOWEST VALUE")</f>
        <v>HIGHEST VALUE</v>
      </c>
      <c r="S426" t="str">
        <f t="shared" si="56"/>
        <v>Profit</v>
      </c>
      <c r="T426" t="str">
        <f t="shared" si="57"/>
        <v>Karen Grimes</v>
      </c>
      <c r="U426" t="str">
        <f t="shared" si="58"/>
        <v>Cupboard</v>
      </c>
      <c r="V426">
        <f t="shared" si="59"/>
        <v>2024</v>
      </c>
      <c r="W426">
        <f t="shared" si="60"/>
        <v>12</v>
      </c>
      <c r="X426">
        <f t="shared" si="61"/>
        <v>29</v>
      </c>
      <c r="Y426" t="str">
        <f t="shared" si="62"/>
        <v>Nov</v>
      </c>
      <c r="Z426">
        <f t="shared" si="63"/>
        <v>2</v>
      </c>
    </row>
    <row r="427" spans="1:26" ht="15.75" customHeight="1" x14ac:dyDescent="0.3">
      <c r="A427" s="2" t="s">
        <v>1106</v>
      </c>
      <c r="B427" s="2" t="s">
        <v>1107</v>
      </c>
      <c r="C427" s="2" t="s">
        <v>37</v>
      </c>
      <c r="D427" s="2" t="s">
        <v>19</v>
      </c>
      <c r="E427" s="2" t="s">
        <v>25</v>
      </c>
      <c r="F427" s="2">
        <v>13</v>
      </c>
      <c r="G427" s="2">
        <v>2265.9699999999998</v>
      </c>
      <c r="H427" s="2">
        <v>29457.61</v>
      </c>
      <c r="I427" s="2">
        <v>21499.919999999998</v>
      </c>
      <c r="J427" s="2">
        <v>7957.69</v>
      </c>
      <c r="K427" s="3">
        <v>45508</v>
      </c>
      <c r="L427" s="3">
        <v>45512</v>
      </c>
      <c r="M427" s="2" t="s">
        <v>123</v>
      </c>
      <c r="N427" s="2">
        <v>2</v>
      </c>
      <c r="O427" s="2" t="s">
        <v>823</v>
      </c>
      <c r="P427" s="25">
        <v>6.7</v>
      </c>
      <c r="Q427" t="str">
        <f t="shared" si="55"/>
        <v>0426</v>
      </c>
      <c r="R427" t="str">
        <f>IF('RETAIL SALES DATA.'!H427&gt;AVERAGE('RETAIL SALES DATA.'!H427:H1426),"HIGHEST VALUE","LOWEST VALUE")</f>
        <v>HIGHEST VALUE</v>
      </c>
      <c r="S427" t="str">
        <f t="shared" si="56"/>
        <v>Profit</v>
      </c>
      <c r="T427" t="str">
        <f t="shared" si="57"/>
        <v>Janet George</v>
      </c>
      <c r="U427" t="str">
        <f t="shared" si="58"/>
        <v>Marker</v>
      </c>
      <c r="V427">
        <f t="shared" si="59"/>
        <v>2024</v>
      </c>
      <c r="W427">
        <f t="shared" si="60"/>
        <v>8</v>
      </c>
      <c r="X427">
        <f t="shared" si="61"/>
        <v>4</v>
      </c>
      <c r="Y427" t="str">
        <f t="shared" si="62"/>
        <v>Aug</v>
      </c>
      <c r="Z427">
        <f t="shared" si="63"/>
        <v>4</v>
      </c>
    </row>
    <row r="428" spans="1:26" ht="15.75" customHeight="1" x14ac:dyDescent="0.3">
      <c r="A428" s="2" t="s">
        <v>1108</v>
      </c>
      <c r="B428" s="2" t="s">
        <v>1109</v>
      </c>
      <c r="C428" s="2" t="s">
        <v>95</v>
      </c>
      <c r="D428" s="2" t="s">
        <v>19</v>
      </c>
      <c r="E428" s="2" t="s">
        <v>20</v>
      </c>
      <c r="F428" s="2">
        <v>17</v>
      </c>
      <c r="G428" s="2">
        <v>1722.32</v>
      </c>
      <c r="H428" s="2">
        <v>29279.439999999999</v>
      </c>
      <c r="I428" s="2">
        <v>16703.64</v>
      </c>
      <c r="J428" s="2">
        <v>12575.8</v>
      </c>
      <c r="K428" s="3">
        <v>45980</v>
      </c>
      <c r="L428" s="3">
        <v>45984</v>
      </c>
      <c r="M428" s="2" t="s">
        <v>33</v>
      </c>
      <c r="N428" s="2">
        <v>4</v>
      </c>
      <c r="O428" s="2" t="s">
        <v>1093</v>
      </c>
      <c r="P428" s="25">
        <v>10</v>
      </c>
      <c r="Q428" t="str">
        <f t="shared" si="55"/>
        <v>0427</v>
      </c>
      <c r="R428" t="str">
        <f>IF('RETAIL SALES DATA.'!H428&gt;AVERAGE('RETAIL SALES DATA.'!H428:H1427),"HIGHEST VALUE","LOWEST VALUE")</f>
        <v>HIGHEST VALUE</v>
      </c>
      <c r="S428" t="str">
        <f t="shared" si="56"/>
        <v>Profit</v>
      </c>
      <c r="T428" t="str">
        <f t="shared" si="57"/>
        <v>Eric Nelson</v>
      </c>
      <c r="U428" t="str">
        <f t="shared" si="58"/>
        <v>Printer</v>
      </c>
      <c r="V428">
        <f t="shared" si="59"/>
        <v>2025</v>
      </c>
      <c r="W428">
        <f t="shared" si="60"/>
        <v>11</v>
      </c>
      <c r="X428">
        <f t="shared" si="61"/>
        <v>19</v>
      </c>
      <c r="Y428" t="str">
        <f t="shared" si="62"/>
        <v>Nov</v>
      </c>
      <c r="Z428">
        <f t="shared" si="63"/>
        <v>4</v>
      </c>
    </row>
    <row r="429" spans="1:26" ht="15.75" customHeight="1" x14ac:dyDescent="0.3">
      <c r="A429" s="2" t="s">
        <v>1110</v>
      </c>
      <c r="B429" s="2" t="s">
        <v>1111</v>
      </c>
      <c r="C429" s="2" t="s">
        <v>195</v>
      </c>
      <c r="D429" s="2" t="s">
        <v>43</v>
      </c>
      <c r="E429" s="2" t="s">
        <v>20</v>
      </c>
      <c r="F429" s="2">
        <v>8</v>
      </c>
      <c r="G429" s="2">
        <v>2396.91</v>
      </c>
      <c r="H429" s="2">
        <v>19175.28</v>
      </c>
      <c r="I429" s="2">
        <v>13801.46</v>
      </c>
      <c r="J429" s="2">
        <v>5373.82</v>
      </c>
      <c r="K429" s="3">
        <v>45828</v>
      </c>
      <c r="L429" s="3">
        <v>45831</v>
      </c>
      <c r="M429" s="2" t="s">
        <v>45</v>
      </c>
      <c r="N429" s="2">
        <v>5</v>
      </c>
      <c r="O429" s="2" t="s">
        <v>148</v>
      </c>
      <c r="P429" s="25">
        <v>6.2</v>
      </c>
      <c r="Q429" t="str">
        <f t="shared" si="55"/>
        <v>0428</v>
      </c>
      <c r="R429" t="str">
        <f>IF('RETAIL SALES DATA.'!H429&gt;AVERAGE('RETAIL SALES DATA.'!H429:H1428),"HIGHEST VALUE","LOWEST VALUE")</f>
        <v>LOWEST VALUE</v>
      </c>
      <c r="S429" t="str">
        <f t="shared" si="56"/>
        <v>Profit</v>
      </c>
      <c r="T429" t="str">
        <f t="shared" si="57"/>
        <v>Jennifer Gonzales</v>
      </c>
      <c r="U429" t="str">
        <f t="shared" si="58"/>
        <v>Monitor</v>
      </c>
      <c r="V429">
        <f t="shared" si="59"/>
        <v>2025</v>
      </c>
      <c r="W429">
        <f t="shared" si="60"/>
        <v>6</v>
      </c>
      <c r="X429">
        <f t="shared" si="61"/>
        <v>20</v>
      </c>
      <c r="Y429" t="str">
        <f t="shared" si="62"/>
        <v>Jun</v>
      </c>
      <c r="Z429">
        <f t="shared" si="63"/>
        <v>3</v>
      </c>
    </row>
    <row r="430" spans="1:26" ht="15.75" customHeight="1" x14ac:dyDescent="0.3">
      <c r="A430" s="2" t="s">
        <v>1112</v>
      </c>
      <c r="B430" s="2" t="s">
        <v>1113</v>
      </c>
      <c r="C430" s="2" t="s">
        <v>57</v>
      </c>
      <c r="D430" s="2" t="s">
        <v>19</v>
      </c>
      <c r="E430" s="2" t="s">
        <v>25</v>
      </c>
      <c r="F430" s="2">
        <v>1</v>
      </c>
      <c r="G430" s="2">
        <v>1833.4</v>
      </c>
      <c r="H430" s="2">
        <v>1833.4</v>
      </c>
      <c r="I430" s="2">
        <v>1603.64</v>
      </c>
      <c r="J430" s="2">
        <v>229.76</v>
      </c>
      <c r="K430" s="3">
        <v>45694</v>
      </c>
      <c r="L430" s="3">
        <v>45698</v>
      </c>
      <c r="M430" s="2" t="s">
        <v>21</v>
      </c>
      <c r="N430" s="2">
        <v>3</v>
      </c>
      <c r="O430" s="2" t="s">
        <v>1114</v>
      </c>
      <c r="P430" s="25">
        <v>9.9</v>
      </c>
      <c r="Q430" t="str">
        <f t="shared" si="55"/>
        <v>0429</v>
      </c>
      <c r="R430" t="str">
        <f>IF('RETAIL SALES DATA.'!H430&gt;AVERAGE('RETAIL SALES DATA.'!H430:H1429),"HIGHEST VALUE","LOWEST VALUE")</f>
        <v>LOWEST VALUE</v>
      </c>
      <c r="S430" t="str">
        <f t="shared" si="56"/>
        <v>Profit</v>
      </c>
      <c r="T430" t="str">
        <f t="shared" si="57"/>
        <v>Linda Jones</v>
      </c>
      <c r="U430" t="str">
        <f t="shared" si="58"/>
        <v>Notebook</v>
      </c>
      <c r="V430">
        <f t="shared" si="59"/>
        <v>2025</v>
      </c>
      <c r="W430">
        <f t="shared" si="60"/>
        <v>2</v>
      </c>
      <c r="X430">
        <f t="shared" si="61"/>
        <v>6</v>
      </c>
      <c r="Y430" t="str">
        <f t="shared" si="62"/>
        <v>Feb</v>
      </c>
      <c r="Z430">
        <f t="shared" si="63"/>
        <v>4</v>
      </c>
    </row>
    <row r="431" spans="1:26" ht="15.75" customHeight="1" x14ac:dyDescent="0.3">
      <c r="A431" s="2" t="s">
        <v>1115</v>
      </c>
      <c r="B431" s="2" t="s">
        <v>1116</v>
      </c>
      <c r="C431" s="2" t="s">
        <v>57</v>
      </c>
      <c r="D431" s="2" t="s">
        <v>19</v>
      </c>
      <c r="E431" s="2" t="s">
        <v>44</v>
      </c>
      <c r="F431" s="2">
        <v>6</v>
      </c>
      <c r="G431" s="2">
        <v>3483.73</v>
      </c>
      <c r="H431" s="2">
        <v>20902.38</v>
      </c>
      <c r="I431" s="2">
        <v>18461.34</v>
      </c>
      <c r="J431" s="2">
        <v>2441.04</v>
      </c>
      <c r="K431" s="3">
        <v>45632</v>
      </c>
      <c r="L431" s="3">
        <v>45638</v>
      </c>
      <c r="M431" s="2" t="s">
        <v>38</v>
      </c>
      <c r="N431" s="2">
        <v>3</v>
      </c>
      <c r="O431" s="2" t="s">
        <v>1117</v>
      </c>
      <c r="P431" s="25">
        <v>6</v>
      </c>
      <c r="Q431" t="str">
        <f t="shared" si="55"/>
        <v>0430</v>
      </c>
      <c r="R431" t="str">
        <f>IF('RETAIL SALES DATA.'!H431&gt;AVERAGE('RETAIL SALES DATA.'!H431:H1430),"HIGHEST VALUE","LOWEST VALUE")</f>
        <v>LOWEST VALUE</v>
      </c>
      <c r="S431" t="str">
        <f t="shared" si="56"/>
        <v>Profit</v>
      </c>
      <c r="T431" t="str">
        <f t="shared" si="57"/>
        <v>Joseph Michael</v>
      </c>
      <c r="U431" t="str">
        <f t="shared" si="58"/>
        <v>Notebook</v>
      </c>
      <c r="V431">
        <f t="shared" si="59"/>
        <v>2024</v>
      </c>
      <c r="W431">
        <f t="shared" si="60"/>
        <v>12</v>
      </c>
      <c r="X431">
        <f t="shared" si="61"/>
        <v>6</v>
      </c>
      <c r="Y431" t="str">
        <f t="shared" si="62"/>
        <v>Dec</v>
      </c>
      <c r="Z431">
        <f t="shared" si="63"/>
        <v>6</v>
      </c>
    </row>
    <row r="432" spans="1:26" ht="15.75" customHeight="1" x14ac:dyDescent="0.3">
      <c r="A432" s="2" t="s">
        <v>1118</v>
      </c>
      <c r="B432" s="2" t="s">
        <v>1119</v>
      </c>
      <c r="C432" s="2" t="s">
        <v>30</v>
      </c>
      <c r="D432" s="2" t="s">
        <v>31</v>
      </c>
      <c r="E432" s="2" t="s">
        <v>44</v>
      </c>
      <c r="F432" s="2">
        <v>15</v>
      </c>
      <c r="G432" s="2">
        <v>2146.73</v>
      </c>
      <c r="H432" s="2">
        <v>32200.95</v>
      </c>
      <c r="I432" s="2">
        <v>17703.849999999999</v>
      </c>
      <c r="J432" s="2">
        <v>14497.1</v>
      </c>
      <c r="K432" s="3">
        <v>46066</v>
      </c>
      <c r="L432" s="3">
        <v>46075</v>
      </c>
      <c r="M432" s="2" t="s">
        <v>50</v>
      </c>
      <c r="N432" s="2">
        <v>1</v>
      </c>
      <c r="O432" s="2" t="s">
        <v>426</v>
      </c>
      <c r="P432" s="25">
        <v>8</v>
      </c>
      <c r="Q432" t="str">
        <f t="shared" si="55"/>
        <v>0431</v>
      </c>
      <c r="R432" t="str">
        <f>IF('RETAIL SALES DATA.'!H432&gt;AVERAGE('RETAIL SALES DATA.'!H432:H1431),"HIGHEST VALUE","LOWEST VALUE")</f>
        <v>HIGHEST VALUE</v>
      </c>
      <c r="S432" t="str">
        <f t="shared" si="56"/>
        <v>Profit</v>
      </c>
      <c r="T432" t="str">
        <f t="shared" si="57"/>
        <v>Geoffrey Murphy</v>
      </c>
      <c r="U432" t="str">
        <f t="shared" si="58"/>
        <v>Desk</v>
      </c>
      <c r="V432">
        <f t="shared" si="59"/>
        <v>2026</v>
      </c>
      <c r="W432">
        <f t="shared" si="60"/>
        <v>2</v>
      </c>
      <c r="X432">
        <f t="shared" si="61"/>
        <v>13</v>
      </c>
      <c r="Y432" t="str">
        <f t="shared" si="62"/>
        <v>Feb</v>
      </c>
      <c r="Z432">
        <f t="shared" si="63"/>
        <v>9</v>
      </c>
    </row>
    <row r="433" spans="1:26" ht="15.75" customHeight="1" x14ac:dyDescent="0.3">
      <c r="A433" s="2" t="s">
        <v>1120</v>
      </c>
      <c r="B433" s="2" t="s">
        <v>1121</v>
      </c>
      <c r="C433" s="2" t="s">
        <v>168</v>
      </c>
      <c r="D433" s="2" t="s">
        <v>43</v>
      </c>
      <c r="E433" s="2" t="s">
        <v>44</v>
      </c>
      <c r="F433" s="2">
        <v>19</v>
      </c>
      <c r="G433" s="2">
        <v>1131.32</v>
      </c>
      <c r="H433" s="2">
        <v>21495.08</v>
      </c>
      <c r="I433" s="2">
        <v>13401.28</v>
      </c>
      <c r="J433" s="2">
        <v>8093.8</v>
      </c>
      <c r="K433" s="3">
        <v>45817</v>
      </c>
      <c r="L433" s="3">
        <v>45825</v>
      </c>
      <c r="M433" s="2" t="s">
        <v>123</v>
      </c>
      <c r="N433" s="2">
        <v>4</v>
      </c>
      <c r="O433" s="2" t="s">
        <v>130</v>
      </c>
      <c r="P433" s="25">
        <v>6.3</v>
      </c>
      <c r="Q433" t="str">
        <f t="shared" si="55"/>
        <v>0432</v>
      </c>
      <c r="R433" t="str">
        <f>IF('RETAIL SALES DATA.'!H433&gt;AVERAGE('RETAIL SALES DATA.'!H433:H1432),"HIGHEST VALUE","LOWEST VALUE")</f>
        <v>LOWEST VALUE</v>
      </c>
      <c r="S433" t="str">
        <f t="shared" si="56"/>
        <v>Profit</v>
      </c>
      <c r="T433" t="str">
        <f t="shared" si="57"/>
        <v>Beverly Hill</v>
      </c>
      <c r="U433" t="str">
        <f t="shared" si="58"/>
        <v>Keyboard</v>
      </c>
      <c r="V433">
        <f t="shared" si="59"/>
        <v>2025</v>
      </c>
      <c r="W433">
        <f t="shared" si="60"/>
        <v>6</v>
      </c>
      <c r="X433">
        <f t="shared" si="61"/>
        <v>9</v>
      </c>
      <c r="Y433" t="str">
        <f t="shared" si="62"/>
        <v>Jun</v>
      </c>
      <c r="Z433">
        <f t="shared" si="63"/>
        <v>8</v>
      </c>
    </row>
    <row r="434" spans="1:26" ht="15.75" customHeight="1" x14ac:dyDescent="0.3">
      <c r="A434" s="2" t="s">
        <v>1122</v>
      </c>
      <c r="B434" s="2" t="s">
        <v>1123</v>
      </c>
      <c r="C434" s="2" t="s">
        <v>30</v>
      </c>
      <c r="D434" s="2" t="s">
        <v>31</v>
      </c>
      <c r="E434" s="2" t="s">
        <v>20</v>
      </c>
      <c r="F434" s="2">
        <v>18</v>
      </c>
      <c r="G434" s="2">
        <v>3283.62</v>
      </c>
      <c r="H434" s="2">
        <v>59105.16</v>
      </c>
      <c r="I434" s="2">
        <v>40779.26</v>
      </c>
      <c r="J434" s="2">
        <v>18325.900000000001</v>
      </c>
      <c r="K434" s="3">
        <v>45574</v>
      </c>
      <c r="L434" s="3">
        <v>45580</v>
      </c>
      <c r="M434" s="2" t="s">
        <v>123</v>
      </c>
      <c r="N434" s="2">
        <v>3</v>
      </c>
      <c r="O434" s="2" t="s">
        <v>254</v>
      </c>
      <c r="P434" s="25">
        <v>6.9</v>
      </c>
      <c r="Q434" t="str">
        <f t="shared" si="55"/>
        <v>0433</v>
      </c>
      <c r="R434" t="str">
        <f>IF('RETAIL SALES DATA.'!H434&gt;AVERAGE('RETAIL SALES DATA.'!H434:H1433),"HIGHEST VALUE","LOWEST VALUE")</f>
        <v>HIGHEST VALUE</v>
      </c>
      <c r="S434" t="str">
        <f t="shared" si="56"/>
        <v>Profit</v>
      </c>
      <c r="T434" t="str">
        <f t="shared" si="57"/>
        <v>Jennifer Vargas</v>
      </c>
      <c r="U434" t="str">
        <f t="shared" si="58"/>
        <v>Desk</v>
      </c>
      <c r="V434">
        <f t="shared" si="59"/>
        <v>2024</v>
      </c>
      <c r="W434">
        <f t="shared" si="60"/>
        <v>10</v>
      </c>
      <c r="X434">
        <f t="shared" si="61"/>
        <v>9</v>
      </c>
      <c r="Y434" t="str">
        <f t="shared" si="62"/>
        <v>Oct</v>
      </c>
      <c r="Z434">
        <f t="shared" si="63"/>
        <v>6</v>
      </c>
    </row>
    <row r="435" spans="1:26" ht="15.75" customHeight="1" x14ac:dyDescent="0.3">
      <c r="A435" s="2" t="s">
        <v>1124</v>
      </c>
      <c r="B435" s="2" t="s">
        <v>1125</v>
      </c>
      <c r="C435" s="2" t="s">
        <v>88</v>
      </c>
      <c r="D435" s="2" t="s">
        <v>31</v>
      </c>
      <c r="E435" s="2" t="s">
        <v>20</v>
      </c>
      <c r="F435" s="2">
        <v>2</v>
      </c>
      <c r="G435" s="2">
        <v>3978.19</v>
      </c>
      <c r="H435" s="2">
        <v>7956.38</v>
      </c>
      <c r="I435" s="2">
        <v>6354.74</v>
      </c>
      <c r="J435" s="2">
        <v>1601.64</v>
      </c>
      <c r="K435" s="3">
        <v>45959</v>
      </c>
      <c r="L435" s="3">
        <v>45961</v>
      </c>
      <c r="M435" s="2" t="s">
        <v>123</v>
      </c>
      <c r="N435" s="2">
        <v>2</v>
      </c>
      <c r="O435" s="2" t="s">
        <v>839</v>
      </c>
      <c r="P435" s="25">
        <v>7.6</v>
      </c>
      <c r="Q435" t="str">
        <f t="shared" si="55"/>
        <v>0434</v>
      </c>
      <c r="R435" t="str">
        <f>IF('RETAIL SALES DATA.'!H435&gt;AVERAGE('RETAIL SALES DATA.'!H435:H1434),"HIGHEST VALUE","LOWEST VALUE")</f>
        <v>LOWEST VALUE</v>
      </c>
      <c r="S435" t="str">
        <f t="shared" si="56"/>
        <v>Profit</v>
      </c>
      <c r="T435" t="str">
        <f t="shared" si="57"/>
        <v>Steven Anderson</v>
      </c>
      <c r="U435" t="str">
        <f t="shared" si="58"/>
        <v>Cupboard</v>
      </c>
      <c r="V435">
        <f t="shared" si="59"/>
        <v>2025</v>
      </c>
      <c r="W435">
        <f t="shared" si="60"/>
        <v>10</v>
      </c>
      <c r="X435">
        <f t="shared" si="61"/>
        <v>29</v>
      </c>
      <c r="Y435" t="str">
        <f t="shared" si="62"/>
        <v>Oct</v>
      </c>
      <c r="Z435">
        <f t="shared" si="63"/>
        <v>2</v>
      </c>
    </row>
    <row r="436" spans="1:26" ht="15.75" customHeight="1" x14ac:dyDescent="0.3">
      <c r="A436" s="2" t="s">
        <v>1126</v>
      </c>
      <c r="B436" s="2" t="s">
        <v>1127</v>
      </c>
      <c r="C436" s="2" t="s">
        <v>219</v>
      </c>
      <c r="D436" s="2" t="s">
        <v>43</v>
      </c>
      <c r="E436" s="2" t="s">
        <v>20</v>
      </c>
      <c r="F436" s="2">
        <v>5</v>
      </c>
      <c r="G436" s="2">
        <v>852.79</v>
      </c>
      <c r="H436" s="2">
        <v>4263.95</v>
      </c>
      <c r="I436" s="2">
        <v>2469.6</v>
      </c>
      <c r="J436" s="2">
        <v>1794.35</v>
      </c>
      <c r="K436" s="3">
        <v>45981</v>
      </c>
      <c r="L436" s="3">
        <v>45987</v>
      </c>
      <c r="M436" s="2" t="s">
        <v>33</v>
      </c>
      <c r="N436" s="2">
        <v>4</v>
      </c>
      <c r="O436" s="2" t="s">
        <v>99</v>
      </c>
      <c r="P436" s="25">
        <v>6.8</v>
      </c>
      <c r="Q436" t="str">
        <f t="shared" si="55"/>
        <v>0435</v>
      </c>
      <c r="R436" t="str">
        <f>IF('RETAIL SALES DATA.'!H436&gt;AVERAGE('RETAIL SALES DATA.'!H436:H1435),"HIGHEST VALUE","LOWEST VALUE")</f>
        <v>LOWEST VALUE</v>
      </c>
      <c r="S436" t="str">
        <f t="shared" si="56"/>
        <v>Profit</v>
      </c>
      <c r="T436" t="str">
        <f t="shared" si="57"/>
        <v>Mary Allen</v>
      </c>
      <c r="U436" t="str">
        <f t="shared" si="58"/>
        <v>Smartphone</v>
      </c>
      <c r="V436">
        <f t="shared" si="59"/>
        <v>2025</v>
      </c>
      <c r="W436">
        <f t="shared" si="60"/>
        <v>11</v>
      </c>
      <c r="X436">
        <f t="shared" si="61"/>
        <v>20</v>
      </c>
      <c r="Y436" t="str">
        <f t="shared" si="62"/>
        <v>Nov</v>
      </c>
      <c r="Z436">
        <f t="shared" si="63"/>
        <v>6</v>
      </c>
    </row>
    <row r="437" spans="1:26" ht="15.75" customHeight="1" x14ac:dyDescent="0.3">
      <c r="A437" s="2" t="s">
        <v>1128</v>
      </c>
      <c r="B437" s="2" t="s">
        <v>1129</v>
      </c>
      <c r="C437" s="2" t="s">
        <v>168</v>
      </c>
      <c r="D437" s="2" t="s">
        <v>43</v>
      </c>
      <c r="E437" s="2" t="s">
        <v>20</v>
      </c>
      <c r="F437" s="2">
        <v>6</v>
      </c>
      <c r="G437" s="2">
        <v>2925.08</v>
      </c>
      <c r="H437" s="2">
        <v>17550.48</v>
      </c>
      <c r="I437" s="2">
        <v>12795.84</v>
      </c>
      <c r="J437" s="2">
        <v>4754.6400000000003</v>
      </c>
      <c r="K437" s="3">
        <v>45770</v>
      </c>
      <c r="L437" s="3">
        <v>45779</v>
      </c>
      <c r="M437" s="2" t="s">
        <v>26</v>
      </c>
      <c r="N437" s="2">
        <v>5</v>
      </c>
      <c r="O437" s="2" t="s">
        <v>1060</v>
      </c>
      <c r="P437" s="25">
        <v>8.5</v>
      </c>
      <c r="Q437" t="str">
        <f t="shared" si="55"/>
        <v>0436</v>
      </c>
      <c r="R437" t="str">
        <f>IF('RETAIL SALES DATA.'!H437&gt;AVERAGE('RETAIL SALES DATA.'!H437:H1436),"HIGHEST VALUE","LOWEST VALUE")</f>
        <v>LOWEST VALUE</v>
      </c>
      <c r="S437" t="str">
        <f t="shared" si="56"/>
        <v>Profit</v>
      </c>
      <c r="T437" t="str">
        <f t="shared" si="57"/>
        <v>Alejandra Boone</v>
      </c>
      <c r="U437" t="str">
        <f t="shared" si="58"/>
        <v>Keyboard</v>
      </c>
      <c r="V437">
        <f t="shared" si="59"/>
        <v>2025</v>
      </c>
      <c r="W437">
        <f t="shared" si="60"/>
        <v>5</v>
      </c>
      <c r="X437">
        <f t="shared" si="61"/>
        <v>23</v>
      </c>
      <c r="Y437" t="str">
        <f t="shared" si="62"/>
        <v>Apr</v>
      </c>
      <c r="Z437">
        <f t="shared" si="63"/>
        <v>9</v>
      </c>
    </row>
    <row r="438" spans="1:26" ht="15.75" customHeight="1" x14ac:dyDescent="0.3">
      <c r="A438" s="2" t="s">
        <v>1130</v>
      </c>
      <c r="B438" s="2" t="s">
        <v>1131</v>
      </c>
      <c r="C438" s="2" t="s">
        <v>72</v>
      </c>
      <c r="D438" s="2" t="s">
        <v>31</v>
      </c>
      <c r="E438" s="2" t="s">
        <v>44</v>
      </c>
      <c r="F438" s="2">
        <v>16</v>
      </c>
      <c r="G438" s="2">
        <v>4963.68</v>
      </c>
      <c r="H438" s="2">
        <v>79418.880000000005</v>
      </c>
      <c r="I438" s="2">
        <v>47317.51</v>
      </c>
      <c r="J438" s="2">
        <v>32101.37</v>
      </c>
      <c r="K438" s="3">
        <v>45814</v>
      </c>
      <c r="L438" s="3">
        <v>45821</v>
      </c>
      <c r="M438" s="2" t="s">
        <v>45</v>
      </c>
      <c r="N438" s="2">
        <v>3</v>
      </c>
      <c r="O438" s="2" t="s">
        <v>888</v>
      </c>
      <c r="P438" s="25">
        <v>9.9</v>
      </c>
      <c r="Q438" t="str">
        <f t="shared" si="55"/>
        <v>0437</v>
      </c>
      <c r="R438" t="str">
        <f>IF('RETAIL SALES DATA.'!H438&gt;AVERAGE('RETAIL SALES DATA.'!H438:H1437),"HIGHEST VALUE","LOWEST VALUE")</f>
        <v>HIGHEST VALUE</v>
      </c>
      <c r="S438" t="str">
        <f t="shared" si="56"/>
        <v>Profit</v>
      </c>
      <c r="T438" t="str">
        <f t="shared" si="57"/>
        <v>Michael Spears</v>
      </c>
      <c r="U438" t="str">
        <f t="shared" si="58"/>
        <v>Chair</v>
      </c>
      <c r="V438">
        <f t="shared" si="59"/>
        <v>2025</v>
      </c>
      <c r="W438">
        <f t="shared" si="60"/>
        <v>6</v>
      </c>
      <c r="X438">
        <f t="shared" si="61"/>
        <v>6</v>
      </c>
      <c r="Y438" t="str">
        <f t="shared" si="62"/>
        <v>Jun</v>
      </c>
      <c r="Z438">
        <f t="shared" si="63"/>
        <v>7</v>
      </c>
    </row>
    <row r="439" spans="1:26" ht="15.75" customHeight="1" x14ac:dyDescent="0.3">
      <c r="A439" s="2" t="s">
        <v>1132</v>
      </c>
      <c r="B439" s="2" t="s">
        <v>1133</v>
      </c>
      <c r="C439" s="2" t="s">
        <v>195</v>
      </c>
      <c r="D439" s="2" t="s">
        <v>43</v>
      </c>
      <c r="E439" s="2" t="s">
        <v>32</v>
      </c>
      <c r="F439" s="2">
        <v>11</v>
      </c>
      <c r="G439" s="2">
        <v>1218.4100000000001</v>
      </c>
      <c r="H439" s="2">
        <v>13402.51</v>
      </c>
      <c r="I439" s="2">
        <v>9357.0400000000009</v>
      </c>
      <c r="J439" s="2">
        <v>4045.47</v>
      </c>
      <c r="K439" s="3">
        <v>46116</v>
      </c>
      <c r="L439" s="3">
        <v>46125</v>
      </c>
      <c r="M439" s="2" t="s">
        <v>38</v>
      </c>
      <c r="N439" s="2">
        <v>5</v>
      </c>
      <c r="O439" s="2" t="s">
        <v>746</v>
      </c>
      <c r="P439" s="25">
        <v>7.5</v>
      </c>
      <c r="Q439" t="str">
        <f t="shared" si="55"/>
        <v>0438</v>
      </c>
      <c r="R439" t="str">
        <f>IF('RETAIL SALES DATA.'!H439&gt;AVERAGE('RETAIL SALES DATA.'!H439:H1438),"HIGHEST VALUE","LOWEST VALUE")</f>
        <v>LOWEST VALUE</v>
      </c>
      <c r="S439" t="str">
        <f t="shared" si="56"/>
        <v>Profit</v>
      </c>
      <c r="T439" t="str">
        <f t="shared" si="57"/>
        <v>Kristen Miles</v>
      </c>
      <c r="U439" t="str">
        <f t="shared" si="58"/>
        <v>Monitor</v>
      </c>
      <c r="V439">
        <f t="shared" si="59"/>
        <v>2026</v>
      </c>
      <c r="W439">
        <f t="shared" si="60"/>
        <v>4</v>
      </c>
      <c r="X439">
        <f t="shared" si="61"/>
        <v>4</v>
      </c>
      <c r="Y439" t="str">
        <f t="shared" si="62"/>
        <v>Apr</v>
      </c>
      <c r="Z439">
        <f t="shared" si="63"/>
        <v>9</v>
      </c>
    </row>
    <row r="440" spans="1:26" ht="15.75" customHeight="1" x14ac:dyDescent="0.3">
      <c r="A440" s="2" t="s">
        <v>1134</v>
      </c>
      <c r="B440" s="2" t="s">
        <v>1135</v>
      </c>
      <c r="C440" s="2" t="s">
        <v>18</v>
      </c>
      <c r="D440" s="2" t="s">
        <v>19</v>
      </c>
      <c r="E440" s="2" t="s">
        <v>25</v>
      </c>
      <c r="F440" s="2">
        <v>15</v>
      </c>
      <c r="G440" s="2">
        <v>516.03</v>
      </c>
      <c r="H440" s="2">
        <v>7740.45</v>
      </c>
      <c r="I440" s="2">
        <v>4119.1000000000004</v>
      </c>
      <c r="J440" s="2">
        <v>3621.35</v>
      </c>
      <c r="K440" s="3">
        <v>45755</v>
      </c>
      <c r="L440" s="3">
        <v>45760</v>
      </c>
      <c r="M440" s="2" t="s">
        <v>45</v>
      </c>
      <c r="N440" s="2">
        <v>4</v>
      </c>
      <c r="O440" s="2" t="s">
        <v>260</v>
      </c>
      <c r="P440" s="25">
        <v>9.5</v>
      </c>
      <c r="Q440" t="str">
        <f t="shared" si="55"/>
        <v>0439</v>
      </c>
      <c r="R440" t="str">
        <f>IF('RETAIL SALES DATA.'!H440&gt;AVERAGE('RETAIL SALES DATA.'!H440:H1439),"HIGHEST VALUE","LOWEST VALUE")</f>
        <v>LOWEST VALUE</v>
      </c>
      <c r="S440" t="str">
        <f t="shared" si="56"/>
        <v>Profit</v>
      </c>
      <c r="T440" t="str">
        <f t="shared" si="57"/>
        <v>Latoya Soto</v>
      </c>
      <c r="U440" t="str">
        <f t="shared" si="58"/>
        <v>Pen</v>
      </c>
      <c r="V440">
        <f t="shared" si="59"/>
        <v>2025</v>
      </c>
      <c r="W440">
        <f t="shared" si="60"/>
        <v>4</v>
      </c>
      <c r="X440">
        <f t="shared" si="61"/>
        <v>8</v>
      </c>
      <c r="Y440" t="str">
        <f t="shared" si="62"/>
        <v>Apr</v>
      </c>
      <c r="Z440">
        <f t="shared" si="63"/>
        <v>5</v>
      </c>
    </row>
    <row r="441" spans="1:26" ht="15.75" customHeight="1" x14ac:dyDescent="0.3">
      <c r="A441" s="2" t="s">
        <v>1136</v>
      </c>
      <c r="B441" s="2" t="s">
        <v>1137</v>
      </c>
      <c r="C441" s="2" t="s">
        <v>72</v>
      </c>
      <c r="D441" s="2" t="s">
        <v>31</v>
      </c>
      <c r="E441" s="2" t="s">
        <v>20</v>
      </c>
      <c r="F441" s="2">
        <v>3</v>
      </c>
      <c r="G441" s="2">
        <v>4818.01</v>
      </c>
      <c r="H441" s="2">
        <v>14454.03</v>
      </c>
      <c r="I441" s="2">
        <v>12226.82</v>
      </c>
      <c r="J441" s="2">
        <v>2227.21</v>
      </c>
      <c r="K441" s="3">
        <v>45709</v>
      </c>
      <c r="L441" s="3">
        <v>45718</v>
      </c>
      <c r="M441" s="2" t="s">
        <v>58</v>
      </c>
      <c r="N441" s="2">
        <v>4</v>
      </c>
      <c r="O441" s="2" t="s">
        <v>936</v>
      </c>
      <c r="P441" s="25">
        <v>6.6</v>
      </c>
      <c r="Q441" t="str">
        <f t="shared" si="55"/>
        <v>0440</v>
      </c>
      <c r="R441" t="str">
        <f>IF('RETAIL SALES DATA.'!H441&gt;AVERAGE('RETAIL SALES DATA.'!H441:H1440),"HIGHEST VALUE","LOWEST VALUE")</f>
        <v>LOWEST VALUE</v>
      </c>
      <c r="S441" t="str">
        <f t="shared" si="56"/>
        <v>Profit</v>
      </c>
      <c r="T441" t="str">
        <f t="shared" si="57"/>
        <v>Daniel Booker</v>
      </c>
      <c r="U441" t="str">
        <f t="shared" si="58"/>
        <v>Chair</v>
      </c>
      <c r="V441">
        <f t="shared" si="59"/>
        <v>2025</v>
      </c>
      <c r="W441">
        <f t="shared" si="60"/>
        <v>3</v>
      </c>
      <c r="X441">
        <f t="shared" si="61"/>
        <v>21</v>
      </c>
      <c r="Y441" t="str">
        <f t="shared" si="62"/>
        <v>Feb</v>
      </c>
      <c r="Z441">
        <f t="shared" si="63"/>
        <v>9</v>
      </c>
    </row>
    <row r="442" spans="1:26" ht="15.75" customHeight="1" x14ac:dyDescent="0.3">
      <c r="A442" s="2" t="s">
        <v>1138</v>
      </c>
      <c r="B442" s="2" t="s">
        <v>1139</v>
      </c>
      <c r="C442" s="2" t="s">
        <v>95</v>
      </c>
      <c r="D442" s="2" t="s">
        <v>19</v>
      </c>
      <c r="E442" s="2" t="s">
        <v>25</v>
      </c>
      <c r="F442" s="2">
        <v>12</v>
      </c>
      <c r="G442" s="2">
        <v>4893.59</v>
      </c>
      <c r="H442" s="2">
        <v>58723.08</v>
      </c>
      <c r="I442" s="2">
        <v>50176.72</v>
      </c>
      <c r="J442" s="2">
        <v>8546.36</v>
      </c>
      <c r="K442" s="3">
        <v>45723</v>
      </c>
      <c r="L442" s="3">
        <v>45733</v>
      </c>
      <c r="M442" s="2" t="s">
        <v>123</v>
      </c>
      <c r="N442" s="2">
        <v>1</v>
      </c>
      <c r="O442" s="2" t="s">
        <v>918</v>
      </c>
      <c r="P442" s="25">
        <v>6.3</v>
      </c>
      <c r="Q442" t="str">
        <f t="shared" si="55"/>
        <v>0441</v>
      </c>
      <c r="R442" t="str">
        <f>IF('RETAIL SALES DATA.'!H442&gt;AVERAGE('RETAIL SALES DATA.'!H442:H1441),"HIGHEST VALUE","LOWEST VALUE")</f>
        <v>HIGHEST VALUE</v>
      </c>
      <c r="S442" t="str">
        <f t="shared" si="56"/>
        <v>Profit</v>
      </c>
      <c r="T442" t="str">
        <f t="shared" si="57"/>
        <v>Dr. James Stanley Dds</v>
      </c>
      <c r="U442" t="str">
        <f t="shared" si="58"/>
        <v>Printer</v>
      </c>
      <c r="V442">
        <f t="shared" si="59"/>
        <v>2025</v>
      </c>
      <c r="W442">
        <f t="shared" si="60"/>
        <v>3</v>
      </c>
      <c r="X442">
        <f t="shared" si="61"/>
        <v>7</v>
      </c>
      <c r="Y442" t="str">
        <f t="shared" si="62"/>
        <v>Mar</v>
      </c>
      <c r="Z442">
        <f t="shared" si="63"/>
        <v>10</v>
      </c>
    </row>
    <row r="443" spans="1:26" ht="15.75" customHeight="1" x14ac:dyDescent="0.3">
      <c r="A443" s="2" t="s">
        <v>1140</v>
      </c>
      <c r="B443" s="2" t="s">
        <v>1141</v>
      </c>
      <c r="C443" s="2" t="s">
        <v>219</v>
      </c>
      <c r="D443" s="2" t="s">
        <v>43</v>
      </c>
      <c r="E443" s="2" t="s">
        <v>20</v>
      </c>
      <c r="F443" s="2">
        <v>19</v>
      </c>
      <c r="G443" s="2">
        <v>1620.53</v>
      </c>
      <c r="H443" s="2">
        <v>30790.07</v>
      </c>
      <c r="I443" s="2">
        <v>21996.36</v>
      </c>
      <c r="J443" s="2">
        <v>8793.7099999999991</v>
      </c>
      <c r="K443" s="3">
        <v>45499</v>
      </c>
      <c r="L443" s="3">
        <v>45505</v>
      </c>
      <c r="M443" s="2" t="s">
        <v>38</v>
      </c>
      <c r="N443" s="2">
        <v>5</v>
      </c>
      <c r="O443" s="2" t="s">
        <v>300</v>
      </c>
      <c r="P443" s="25">
        <v>9.8000000000000007</v>
      </c>
      <c r="Q443" t="str">
        <f t="shared" si="55"/>
        <v>0442</v>
      </c>
      <c r="R443" t="str">
        <f>IF('RETAIL SALES DATA.'!H443&gt;AVERAGE('RETAIL SALES DATA.'!H443:H1442),"HIGHEST VALUE","LOWEST VALUE")</f>
        <v>HIGHEST VALUE</v>
      </c>
      <c r="S443" t="str">
        <f t="shared" si="56"/>
        <v>Profit</v>
      </c>
      <c r="T443" t="str">
        <f t="shared" si="57"/>
        <v>Courtney Martin Dds</v>
      </c>
      <c r="U443" t="str">
        <f t="shared" si="58"/>
        <v>Smartphone</v>
      </c>
      <c r="V443">
        <f t="shared" si="59"/>
        <v>2024</v>
      </c>
      <c r="W443">
        <f t="shared" si="60"/>
        <v>8</v>
      </c>
      <c r="X443">
        <f t="shared" si="61"/>
        <v>26</v>
      </c>
      <c r="Y443" t="str">
        <f t="shared" si="62"/>
        <v>Jul</v>
      </c>
      <c r="Z443">
        <f t="shared" si="63"/>
        <v>6</v>
      </c>
    </row>
    <row r="444" spans="1:26" ht="15.75" customHeight="1" x14ac:dyDescent="0.3">
      <c r="A444" s="2" t="s">
        <v>1142</v>
      </c>
      <c r="B444" s="2" t="s">
        <v>1143</v>
      </c>
      <c r="C444" s="2" t="s">
        <v>49</v>
      </c>
      <c r="D444" s="2" t="s">
        <v>43</v>
      </c>
      <c r="E444" s="2" t="s">
        <v>44</v>
      </c>
      <c r="F444" s="2">
        <v>6</v>
      </c>
      <c r="G444" s="2">
        <v>807.54</v>
      </c>
      <c r="H444" s="2">
        <v>4845.24</v>
      </c>
      <c r="I444" s="2">
        <v>4342.12</v>
      </c>
      <c r="J444" s="2">
        <v>503.12</v>
      </c>
      <c r="K444" s="3">
        <v>45894</v>
      </c>
      <c r="L444" s="3">
        <v>45898</v>
      </c>
      <c r="M444" s="2" t="s">
        <v>26</v>
      </c>
      <c r="N444" s="2">
        <v>3</v>
      </c>
      <c r="O444" s="2" t="s">
        <v>257</v>
      </c>
      <c r="P444" s="25">
        <v>6.5</v>
      </c>
      <c r="Q444" t="str">
        <f t="shared" si="55"/>
        <v>0443</v>
      </c>
      <c r="R444" t="str">
        <f>IF('RETAIL SALES DATA.'!H444&gt;AVERAGE('RETAIL SALES DATA.'!H444:H1443),"HIGHEST VALUE","LOWEST VALUE")</f>
        <v>LOWEST VALUE</v>
      </c>
      <c r="S444" t="str">
        <f t="shared" si="56"/>
        <v>Profit</v>
      </c>
      <c r="T444" t="str">
        <f t="shared" si="57"/>
        <v>Michael Williams</v>
      </c>
      <c r="U444" t="str">
        <f t="shared" si="58"/>
        <v>Mouse</v>
      </c>
      <c r="V444">
        <f t="shared" si="59"/>
        <v>2025</v>
      </c>
      <c r="W444">
        <f t="shared" si="60"/>
        <v>8</v>
      </c>
      <c r="X444">
        <f t="shared" si="61"/>
        <v>25</v>
      </c>
      <c r="Y444" t="str">
        <f t="shared" si="62"/>
        <v>Aug</v>
      </c>
      <c r="Z444">
        <f t="shared" si="63"/>
        <v>4</v>
      </c>
    </row>
    <row r="445" spans="1:26" ht="15.75" customHeight="1" x14ac:dyDescent="0.3">
      <c r="A445" s="2" t="s">
        <v>1144</v>
      </c>
      <c r="B445" s="2" t="s">
        <v>1145</v>
      </c>
      <c r="C445" s="2" t="s">
        <v>139</v>
      </c>
      <c r="D445" s="2" t="s">
        <v>31</v>
      </c>
      <c r="E445" s="2" t="s">
        <v>20</v>
      </c>
      <c r="F445" s="2">
        <v>15</v>
      </c>
      <c r="G445" s="2">
        <v>64.489999999999995</v>
      </c>
      <c r="H445" s="2">
        <v>967.35</v>
      </c>
      <c r="I445" s="2">
        <v>844.68</v>
      </c>
      <c r="J445" s="2">
        <v>122.67</v>
      </c>
      <c r="K445" s="3">
        <v>45463</v>
      </c>
      <c r="L445" s="3">
        <v>45468</v>
      </c>
      <c r="M445" s="2" t="s">
        <v>181</v>
      </c>
      <c r="N445" s="2">
        <v>2</v>
      </c>
      <c r="O445" s="2" t="s">
        <v>267</v>
      </c>
      <c r="P445" s="25">
        <v>8.6</v>
      </c>
      <c r="Q445" t="str">
        <f t="shared" si="55"/>
        <v>0444</v>
      </c>
      <c r="R445" t="str">
        <f>IF('RETAIL SALES DATA.'!H445&gt;AVERAGE('RETAIL SALES DATA.'!H445:H1444),"HIGHEST VALUE","LOWEST VALUE")</f>
        <v>LOWEST VALUE</v>
      </c>
      <c r="S445" t="str">
        <f t="shared" si="56"/>
        <v>Profit</v>
      </c>
      <c r="T445" t="str">
        <f t="shared" si="57"/>
        <v>David Hayes</v>
      </c>
      <c r="U445" t="str">
        <f t="shared" si="58"/>
        <v>Sofa</v>
      </c>
      <c r="V445">
        <f t="shared" si="59"/>
        <v>2024</v>
      </c>
      <c r="W445">
        <f t="shared" si="60"/>
        <v>6</v>
      </c>
      <c r="X445">
        <f t="shared" si="61"/>
        <v>20</v>
      </c>
      <c r="Y445" t="str">
        <f t="shared" si="62"/>
        <v>Jun</v>
      </c>
      <c r="Z445">
        <f t="shared" si="63"/>
        <v>5</v>
      </c>
    </row>
    <row r="446" spans="1:26" ht="15.75" customHeight="1" x14ac:dyDescent="0.3">
      <c r="A446" s="2" t="s">
        <v>1146</v>
      </c>
      <c r="B446" s="2" t="s">
        <v>1147</v>
      </c>
      <c r="C446" s="2" t="s">
        <v>168</v>
      </c>
      <c r="D446" s="2" t="s">
        <v>43</v>
      </c>
      <c r="E446" s="2" t="s">
        <v>20</v>
      </c>
      <c r="F446" s="2">
        <v>18</v>
      </c>
      <c r="G446" s="2">
        <v>3595.02</v>
      </c>
      <c r="H446" s="2">
        <v>64710.36</v>
      </c>
      <c r="I446" s="2">
        <v>38383.089999999997</v>
      </c>
      <c r="J446" s="2">
        <v>26327.27</v>
      </c>
      <c r="K446" s="3">
        <v>45688</v>
      </c>
      <c r="L446" s="3">
        <v>45698</v>
      </c>
      <c r="M446" s="2" t="s">
        <v>123</v>
      </c>
      <c r="N446" s="2">
        <v>1</v>
      </c>
      <c r="O446" s="2" t="s">
        <v>955</v>
      </c>
      <c r="P446" s="25">
        <v>6.7</v>
      </c>
      <c r="Q446" t="str">
        <f t="shared" si="55"/>
        <v>0445</v>
      </c>
      <c r="R446" t="str">
        <f>IF('RETAIL SALES DATA.'!H446&gt;AVERAGE('RETAIL SALES DATA.'!H446:H1445),"HIGHEST VALUE","LOWEST VALUE")</f>
        <v>HIGHEST VALUE</v>
      </c>
      <c r="S446" t="str">
        <f t="shared" si="56"/>
        <v>Profit</v>
      </c>
      <c r="T446" t="str">
        <f t="shared" si="57"/>
        <v>Cassandra French</v>
      </c>
      <c r="U446" t="str">
        <f t="shared" si="58"/>
        <v>Keyboard</v>
      </c>
      <c r="V446">
        <f t="shared" si="59"/>
        <v>2025</v>
      </c>
      <c r="W446">
        <f t="shared" si="60"/>
        <v>2</v>
      </c>
      <c r="X446">
        <f t="shared" si="61"/>
        <v>31</v>
      </c>
      <c r="Y446" t="str">
        <f t="shared" si="62"/>
        <v>Jan</v>
      </c>
      <c r="Z446">
        <f t="shared" si="63"/>
        <v>10</v>
      </c>
    </row>
    <row r="447" spans="1:26" ht="15.75" customHeight="1" x14ac:dyDescent="0.3">
      <c r="A447" s="2" t="s">
        <v>1148</v>
      </c>
      <c r="B447" s="2" t="s">
        <v>1149</v>
      </c>
      <c r="C447" s="2" t="s">
        <v>144</v>
      </c>
      <c r="D447" s="2" t="s">
        <v>19</v>
      </c>
      <c r="E447" s="2" t="s">
        <v>20</v>
      </c>
      <c r="F447" s="2">
        <v>15</v>
      </c>
      <c r="G447" s="2">
        <v>2370.2800000000002</v>
      </c>
      <c r="H447" s="2">
        <v>35554.199999999997</v>
      </c>
      <c r="I447" s="2">
        <v>24504.02</v>
      </c>
      <c r="J447" s="2">
        <v>11050.18</v>
      </c>
      <c r="K447" s="3">
        <v>45713</v>
      </c>
      <c r="L447" s="3">
        <v>45721</v>
      </c>
      <c r="M447" s="2" t="s">
        <v>69</v>
      </c>
      <c r="N447" s="2">
        <v>1</v>
      </c>
      <c r="O447" s="2" t="s">
        <v>73</v>
      </c>
      <c r="P447" s="25">
        <v>9.4</v>
      </c>
      <c r="Q447" t="str">
        <f t="shared" si="55"/>
        <v>0446</v>
      </c>
      <c r="R447" t="str">
        <f>IF('RETAIL SALES DATA.'!H447&gt;AVERAGE('RETAIL SALES DATA.'!H447:H1446),"HIGHEST VALUE","LOWEST VALUE")</f>
        <v>HIGHEST VALUE</v>
      </c>
      <c r="S447" t="str">
        <f t="shared" si="56"/>
        <v>Profit</v>
      </c>
      <c r="T447" t="str">
        <f t="shared" si="57"/>
        <v>Amy Smith</v>
      </c>
      <c r="U447" t="str">
        <f t="shared" si="58"/>
        <v>File</v>
      </c>
      <c r="V447">
        <f t="shared" si="59"/>
        <v>2025</v>
      </c>
      <c r="W447">
        <f t="shared" si="60"/>
        <v>3</v>
      </c>
      <c r="X447">
        <f t="shared" si="61"/>
        <v>25</v>
      </c>
      <c r="Y447" t="str">
        <f t="shared" si="62"/>
        <v>Feb</v>
      </c>
      <c r="Z447">
        <f t="shared" si="63"/>
        <v>8</v>
      </c>
    </row>
    <row r="448" spans="1:26" ht="15.75" customHeight="1" x14ac:dyDescent="0.3">
      <c r="A448" s="2" t="s">
        <v>1150</v>
      </c>
      <c r="B448" s="2" t="s">
        <v>1151</v>
      </c>
      <c r="C448" s="2" t="s">
        <v>88</v>
      </c>
      <c r="D448" s="2" t="s">
        <v>31</v>
      </c>
      <c r="E448" s="2" t="s">
        <v>32</v>
      </c>
      <c r="F448" s="2">
        <v>2</v>
      </c>
      <c r="G448" s="2">
        <v>1561.32</v>
      </c>
      <c r="H448" s="2">
        <v>3122.64</v>
      </c>
      <c r="I448" s="2">
        <v>1928.31</v>
      </c>
      <c r="J448" s="2">
        <v>1194.33</v>
      </c>
      <c r="K448" s="3">
        <v>45740</v>
      </c>
      <c r="L448" s="3">
        <v>45744</v>
      </c>
      <c r="M448" s="2" t="s">
        <v>21</v>
      </c>
      <c r="N448" s="2">
        <v>2</v>
      </c>
      <c r="O448" s="2" t="s">
        <v>359</v>
      </c>
      <c r="P448" s="25">
        <v>8.3000000000000007</v>
      </c>
      <c r="Q448" t="str">
        <f t="shared" si="55"/>
        <v>0447</v>
      </c>
      <c r="R448" t="str">
        <f>IF('RETAIL SALES DATA.'!H448&gt;AVERAGE('RETAIL SALES DATA.'!H448:H1447),"HIGHEST VALUE","LOWEST VALUE")</f>
        <v>LOWEST VALUE</v>
      </c>
      <c r="S448" t="str">
        <f t="shared" si="56"/>
        <v>Profit</v>
      </c>
      <c r="T448" t="str">
        <f t="shared" si="57"/>
        <v>Megan Fernandez</v>
      </c>
      <c r="U448" t="str">
        <f t="shared" si="58"/>
        <v>Cupboard</v>
      </c>
      <c r="V448">
        <f t="shared" si="59"/>
        <v>2025</v>
      </c>
      <c r="W448">
        <f t="shared" si="60"/>
        <v>3</v>
      </c>
      <c r="X448">
        <f t="shared" si="61"/>
        <v>24</v>
      </c>
      <c r="Y448" t="str">
        <f t="shared" si="62"/>
        <v>Mar</v>
      </c>
      <c r="Z448">
        <f t="shared" si="63"/>
        <v>4</v>
      </c>
    </row>
    <row r="449" spans="1:26" ht="15.75" customHeight="1" x14ac:dyDescent="0.3">
      <c r="A449" s="2" t="s">
        <v>1152</v>
      </c>
      <c r="B449" s="2" t="s">
        <v>1153</v>
      </c>
      <c r="C449" s="2" t="s">
        <v>139</v>
      </c>
      <c r="D449" s="2" t="s">
        <v>31</v>
      </c>
      <c r="E449" s="2" t="s">
        <v>44</v>
      </c>
      <c r="F449" s="2">
        <v>16</v>
      </c>
      <c r="G449" s="2">
        <v>2168.67</v>
      </c>
      <c r="H449" s="2">
        <v>34698.720000000001</v>
      </c>
      <c r="I449" s="2">
        <v>30224.46</v>
      </c>
      <c r="J449" s="2">
        <v>4474.26</v>
      </c>
      <c r="K449" s="3">
        <v>46110</v>
      </c>
      <c r="L449" s="3">
        <v>46114</v>
      </c>
      <c r="M449" s="2" t="s">
        <v>123</v>
      </c>
      <c r="N449" s="2">
        <v>2</v>
      </c>
      <c r="O449" s="2" t="s">
        <v>251</v>
      </c>
      <c r="P449" s="25">
        <v>7.4</v>
      </c>
      <c r="Q449" t="str">
        <f t="shared" si="55"/>
        <v>0448</v>
      </c>
      <c r="R449" t="str">
        <f>IF('RETAIL SALES DATA.'!H449&gt;AVERAGE('RETAIL SALES DATA.'!H449:H1448),"HIGHEST VALUE","LOWEST VALUE")</f>
        <v>HIGHEST VALUE</v>
      </c>
      <c r="S449" t="str">
        <f t="shared" si="56"/>
        <v>Profit</v>
      </c>
      <c r="T449" t="str">
        <f t="shared" si="57"/>
        <v>Kimberly Herrera</v>
      </c>
      <c r="U449" t="str">
        <f t="shared" si="58"/>
        <v>Sofa</v>
      </c>
      <c r="V449">
        <f t="shared" si="59"/>
        <v>2026</v>
      </c>
      <c r="W449">
        <f t="shared" si="60"/>
        <v>4</v>
      </c>
      <c r="X449">
        <f t="shared" si="61"/>
        <v>29</v>
      </c>
      <c r="Y449" t="str">
        <f t="shared" si="62"/>
        <v>Mar</v>
      </c>
      <c r="Z449">
        <f t="shared" si="63"/>
        <v>4</v>
      </c>
    </row>
    <row r="450" spans="1:26" ht="15.75" customHeight="1" x14ac:dyDescent="0.3">
      <c r="A450" s="2" t="s">
        <v>1154</v>
      </c>
      <c r="B450" s="2" t="s">
        <v>1155</v>
      </c>
      <c r="C450" s="2" t="s">
        <v>95</v>
      </c>
      <c r="D450" s="2" t="s">
        <v>19</v>
      </c>
      <c r="E450" s="2" t="s">
        <v>20</v>
      </c>
      <c r="F450" s="2">
        <v>3</v>
      </c>
      <c r="G450" s="2">
        <v>549.21</v>
      </c>
      <c r="H450" s="2">
        <v>1647.63</v>
      </c>
      <c r="I450" s="2">
        <v>941.33</v>
      </c>
      <c r="J450" s="2">
        <v>706.3</v>
      </c>
      <c r="K450" s="3">
        <v>45798</v>
      </c>
      <c r="L450" s="3">
        <v>45803</v>
      </c>
      <c r="M450" s="2" t="s">
        <v>181</v>
      </c>
      <c r="N450" s="2">
        <v>1</v>
      </c>
      <c r="O450" s="2" t="s">
        <v>1067</v>
      </c>
      <c r="P450" s="25">
        <v>6.6</v>
      </c>
      <c r="Q450" t="str">
        <f t="shared" si="55"/>
        <v>0449</v>
      </c>
      <c r="R450" t="str">
        <f>IF('RETAIL SALES DATA.'!H450&gt;AVERAGE('RETAIL SALES DATA.'!H450:H1449),"HIGHEST VALUE","LOWEST VALUE")</f>
        <v>LOWEST VALUE</v>
      </c>
      <c r="S450" t="str">
        <f t="shared" si="56"/>
        <v>Profit</v>
      </c>
      <c r="T450" t="str">
        <f t="shared" si="57"/>
        <v>John Howard</v>
      </c>
      <c r="U450" t="str">
        <f t="shared" si="58"/>
        <v>Printer</v>
      </c>
      <c r="V450">
        <f t="shared" si="59"/>
        <v>2025</v>
      </c>
      <c r="W450">
        <f t="shared" si="60"/>
        <v>5</v>
      </c>
      <c r="X450">
        <f t="shared" si="61"/>
        <v>21</v>
      </c>
      <c r="Y450" t="str">
        <f t="shared" si="62"/>
        <v>May</v>
      </c>
      <c r="Z450">
        <f t="shared" si="63"/>
        <v>5</v>
      </c>
    </row>
    <row r="451" spans="1:26" ht="15.75" customHeight="1" x14ac:dyDescent="0.3">
      <c r="A451" s="2" t="s">
        <v>1156</v>
      </c>
      <c r="B451" s="2" t="s">
        <v>1157</v>
      </c>
      <c r="C451" s="2" t="s">
        <v>95</v>
      </c>
      <c r="D451" s="2" t="s">
        <v>19</v>
      </c>
      <c r="E451" s="2" t="s">
        <v>32</v>
      </c>
      <c r="F451" s="2">
        <v>1</v>
      </c>
      <c r="G451" s="2">
        <v>175.51</v>
      </c>
      <c r="H451" s="2">
        <v>175.51</v>
      </c>
      <c r="I451" s="2">
        <v>99.73</v>
      </c>
      <c r="J451" s="2">
        <v>75.78</v>
      </c>
      <c r="K451" s="3">
        <v>45677</v>
      </c>
      <c r="L451" s="3">
        <v>45679</v>
      </c>
      <c r="M451" s="2" t="s">
        <v>123</v>
      </c>
      <c r="N451" s="2">
        <v>2</v>
      </c>
      <c r="O451" s="2" t="s">
        <v>184</v>
      </c>
      <c r="P451" s="25">
        <v>6.8</v>
      </c>
      <c r="Q451" t="str">
        <f t="shared" ref="Q451:Q514" si="64">RIGHT(A451,"4")</f>
        <v>0450</v>
      </c>
      <c r="R451" t="str">
        <f>IF('RETAIL SALES DATA.'!H451&gt;AVERAGE('RETAIL SALES DATA.'!H451:H1450),"HIGHEST VALUE","LOWEST VALUE")</f>
        <v>LOWEST VALUE</v>
      </c>
      <c r="S451" t="str">
        <f t="shared" ref="S451:S514" si="65">IF(J451&gt;0,"Profit","Loss")</f>
        <v>Profit</v>
      </c>
      <c r="T451" t="str">
        <f t="shared" ref="T451:T514" si="66">PROPER(B451)</f>
        <v>Matthew Gomez</v>
      </c>
      <c r="U451" t="str">
        <f t="shared" ref="U451:U514" si="67">PROPER(C451)</f>
        <v>Printer</v>
      </c>
      <c r="V451">
        <f t="shared" ref="V451:V514" si="68">YEAR(K451)</f>
        <v>2025</v>
      </c>
      <c r="W451">
        <f t="shared" ref="W451:W514" si="69">MONTH(L451)</f>
        <v>1</v>
      </c>
      <c r="X451">
        <f t="shared" ref="X451:X514" si="70">DAY(K451)</f>
        <v>20</v>
      </c>
      <c r="Y451" t="str">
        <f t="shared" ref="Y451:Y514" si="71">TEXT(K451,"MMM")</f>
        <v>Jan</v>
      </c>
      <c r="Z451">
        <f t="shared" ref="Z451:Z514" si="72">L451-K451</f>
        <v>2</v>
      </c>
    </row>
    <row r="452" spans="1:26" ht="15.75" customHeight="1" x14ac:dyDescent="0.3">
      <c r="A452" s="2" t="s">
        <v>1158</v>
      </c>
      <c r="B452" s="2" t="s">
        <v>1159</v>
      </c>
      <c r="C452" s="2" t="s">
        <v>168</v>
      </c>
      <c r="D452" s="2" t="s">
        <v>43</v>
      </c>
      <c r="E452" s="2" t="s">
        <v>25</v>
      </c>
      <c r="F452" s="2">
        <v>5</v>
      </c>
      <c r="G452" s="2">
        <v>3488.82</v>
      </c>
      <c r="H452" s="2">
        <v>17444.099999999999</v>
      </c>
      <c r="I452" s="2">
        <v>14873.22</v>
      </c>
      <c r="J452" s="2">
        <v>2570.88</v>
      </c>
      <c r="K452" s="3">
        <v>46112</v>
      </c>
      <c r="L452" s="3">
        <v>46117</v>
      </c>
      <c r="M452" s="2" t="s">
        <v>181</v>
      </c>
      <c r="N452" s="2">
        <v>1</v>
      </c>
      <c r="O452" s="2" t="s">
        <v>538</v>
      </c>
      <c r="P452" s="25">
        <v>8.4</v>
      </c>
      <c r="Q452" t="str">
        <f t="shared" si="64"/>
        <v>0451</v>
      </c>
      <c r="R452" t="str">
        <f>IF('RETAIL SALES DATA.'!H452&gt;AVERAGE('RETAIL SALES DATA.'!H452:H1451),"HIGHEST VALUE","LOWEST VALUE")</f>
        <v>LOWEST VALUE</v>
      </c>
      <c r="S452" t="str">
        <f t="shared" si="65"/>
        <v>Profit</v>
      </c>
      <c r="T452" t="str">
        <f t="shared" si="66"/>
        <v>James Carroll</v>
      </c>
      <c r="U452" t="str">
        <f t="shared" si="67"/>
        <v>Keyboard</v>
      </c>
      <c r="V452">
        <f t="shared" si="68"/>
        <v>2026</v>
      </c>
      <c r="W452">
        <f t="shared" si="69"/>
        <v>4</v>
      </c>
      <c r="X452">
        <f t="shared" si="70"/>
        <v>31</v>
      </c>
      <c r="Y452" t="str">
        <f t="shared" si="71"/>
        <v>Mar</v>
      </c>
      <c r="Z452">
        <f t="shared" si="72"/>
        <v>5</v>
      </c>
    </row>
    <row r="453" spans="1:26" ht="15.75" customHeight="1" x14ac:dyDescent="0.3">
      <c r="A453" s="2" t="s">
        <v>1160</v>
      </c>
      <c r="B453" s="2" t="s">
        <v>1161</v>
      </c>
      <c r="C453" s="2" t="s">
        <v>30</v>
      </c>
      <c r="D453" s="2" t="s">
        <v>31</v>
      </c>
      <c r="E453" s="2" t="s">
        <v>25</v>
      </c>
      <c r="F453" s="2">
        <v>15</v>
      </c>
      <c r="G453" s="2">
        <v>3760.96</v>
      </c>
      <c r="H453" s="2">
        <v>56414.400000000001</v>
      </c>
      <c r="I453" s="2">
        <v>31623.84</v>
      </c>
      <c r="J453" s="2">
        <v>24790.560000000001</v>
      </c>
      <c r="K453" s="3">
        <v>45749</v>
      </c>
      <c r="L453" s="3">
        <v>45754</v>
      </c>
      <c r="M453" s="2" t="s">
        <v>69</v>
      </c>
      <c r="N453" s="2">
        <v>5</v>
      </c>
      <c r="O453" s="2" t="s">
        <v>1162</v>
      </c>
      <c r="P453" s="25">
        <v>8</v>
      </c>
      <c r="Q453" t="str">
        <f t="shared" si="64"/>
        <v>0452</v>
      </c>
      <c r="R453" t="str">
        <f>IF('RETAIL SALES DATA.'!H453&gt;AVERAGE('RETAIL SALES DATA.'!H453:H1452),"HIGHEST VALUE","LOWEST VALUE")</f>
        <v>HIGHEST VALUE</v>
      </c>
      <c r="S453" t="str">
        <f t="shared" si="65"/>
        <v>Profit</v>
      </c>
      <c r="T453" t="str">
        <f t="shared" si="66"/>
        <v>Diana Rowe</v>
      </c>
      <c r="U453" t="str">
        <f t="shared" si="67"/>
        <v>Desk</v>
      </c>
      <c r="V453">
        <f t="shared" si="68"/>
        <v>2025</v>
      </c>
      <c r="W453">
        <f t="shared" si="69"/>
        <v>4</v>
      </c>
      <c r="X453">
        <f t="shared" si="70"/>
        <v>2</v>
      </c>
      <c r="Y453" t="str">
        <f t="shared" si="71"/>
        <v>Apr</v>
      </c>
      <c r="Z453">
        <f t="shared" si="72"/>
        <v>5</v>
      </c>
    </row>
    <row r="454" spans="1:26" ht="15.75" customHeight="1" x14ac:dyDescent="0.3">
      <c r="A454" s="2" t="s">
        <v>1163</v>
      </c>
      <c r="B454" s="2" t="s">
        <v>1164</v>
      </c>
      <c r="C454" s="2" t="s">
        <v>18</v>
      </c>
      <c r="D454" s="2" t="s">
        <v>19</v>
      </c>
      <c r="E454" s="2" t="s">
        <v>25</v>
      </c>
      <c r="F454" s="2">
        <v>11</v>
      </c>
      <c r="G454" s="2">
        <v>2041.27</v>
      </c>
      <c r="H454" s="2">
        <v>22453.97</v>
      </c>
      <c r="I454" s="2">
        <v>19987.41</v>
      </c>
      <c r="J454" s="2">
        <v>2466.56</v>
      </c>
      <c r="K454" s="3">
        <v>45575</v>
      </c>
      <c r="L454" s="3">
        <v>45580</v>
      </c>
      <c r="M454" s="2" t="s">
        <v>58</v>
      </c>
      <c r="N454" s="2">
        <v>4</v>
      </c>
      <c r="O454" s="2" t="s">
        <v>522</v>
      </c>
      <c r="P454" s="25">
        <v>6</v>
      </c>
      <c r="Q454" t="str">
        <f t="shared" si="64"/>
        <v>0453</v>
      </c>
      <c r="R454" t="str">
        <f>IF('RETAIL SALES DATA.'!H454&gt;AVERAGE('RETAIL SALES DATA.'!H454:H1453),"HIGHEST VALUE","LOWEST VALUE")</f>
        <v>LOWEST VALUE</v>
      </c>
      <c r="S454" t="str">
        <f t="shared" si="65"/>
        <v>Profit</v>
      </c>
      <c r="T454" t="str">
        <f t="shared" si="66"/>
        <v>Christopher Tucker</v>
      </c>
      <c r="U454" t="str">
        <f t="shared" si="67"/>
        <v>Pen</v>
      </c>
      <c r="V454">
        <f t="shared" si="68"/>
        <v>2024</v>
      </c>
      <c r="W454">
        <f t="shared" si="69"/>
        <v>10</v>
      </c>
      <c r="X454">
        <f t="shared" si="70"/>
        <v>10</v>
      </c>
      <c r="Y454" t="str">
        <f t="shared" si="71"/>
        <v>Oct</v>
      </c>
      <c r="Z454">
        <f t="shared" si="72"/>
        <v>5</v>
      </c>
    </row>
    <row r="455" spans="1:26" ht="15.75" customHeight="1" x14ac:dyDescent="0.3">
      <c r="A455" s="2" t="s">
        <v>1165</v>
      </c>
      <c r="B455" s="2" t="s">
        <v>1166</v>
      </c>
      <c r="C455" s="2" t="s">
        <v>72</v>
      </c>
      <c r="D455" s="2" t="s">
        <v>31</v>
      </c>
      <c r="E455" s="2" t="s">
        <v>20</v>
      </c>
      <c r="F455" s="2">
        <v>10</v>
      </c>
      <c r="G455" s="2">
        <v>827.06</v>
      </c>
      <c r="H455" s="2">
        <v>8270.6</v>
      </c>
      <c r="I455" s="2">
        <v>4717.8100000000004</v>
      </c>
      <c r="J455" s="2">
        <v>3552.79</v>
      </c>
      <c r="K455" s="3">
        <v>45831</v>
      </c>
      <c r="L455" s="3">
        <v>45833</v>
      </c>
      <c r="M455" s="2" t="s">
        <v>21</v>
      </c>
      <c r="N455" s="2">
        <v>1</v>
      </c>
      <c r="O455" s="2" t="s">
        <v>54</v>
      </c>
      <c r="P455" s="25">
        <v>8.5</v>
      </c>
      <c r="Q455" t="str">
        <f t="shared" si="64"/>
        <v>0454</v>
      </c>
      <c r="R455" t="str">
        <f>IF('RETAIL SALES DATA.'!H455&gt;AVERAGE('RETAIL SALES DATA.'!H455:H1454),"HIGHEST VALUE","LOWEST VALUE")</f>
        <v>LOWEST VALUE</v>
      </c>
      <c r="S455" t="str">
        <f t="shared" si="65"/>
        <v>Profit</v>
      </c>
      <c r="T455" t="str">
        <f t="shared" si="66"/>
        <v>Sarah Huffman</v>
      </c>
      <c r="U455" t="str">
        <f t="shared" si="67"/>
        <v>Chair</v>
      </c>
      <c r="V455">
        <f t="shared" si="68"/>
        <v>2025</v>
      </c>
      <c r="W455">
        <f t="shared" si="69"/>
        <v>6</v>
      </c>
      <c r="X455">
        <f t="shared" si="70"/>
        <v>23</v>
      </c>
      <c r="Y455" t="str">
        <f t="shared" si="71"/>
        <v>Jun</v>
      </c>
      <c r="Z455">
        <f t="shared" si="72"/>
        <v>2</v>
      </c>
    </row>
    <row r="456" spans="1:26" ht="15.75" customHeight="1" x14ac:dyDescent="0.3">
      <c r="A456" s="2" t="s">
        <v>1167</v>
      </c>
      <c r="B456" s="2" t="s">
        <v>1168</v>
      </c>
      <c r="C456" s="2" t="s">
        <v>195</v>
      </c>
      <c r="D456" s="2" t="s">
        <v>43</v>
      </c>
      <c r="E456" s="2" t="s">
        <v>32</v>
      </c>
      <c r="F456" s="2">
        <v>7</v>
      </c>
      <c r="G456" s="2">
        <v>3019.21</v>
      </c>
      <c r="H456" s="2">
        <v>21134.47</v>
      </c>
      <c r="I456" s="2">
        <v>18423.849999999999</v>
      </c>
      <c r="J456" s="2">
        <v>2710.62</v>
      </c>
      <c r="K456" s="3">
        <v>46149</v>
      </c>
      <c r="L456" s="3">
        <v>46159</v>
      </c>
      <c r="M456" s="2" t="s">
        <v>50</v>
      </c>
      <c r="N456" s="2">
        <v>5</v>
      </c>
      <c r="O456" s="2" t="s">
        <v>214</v>
      </c>
      <c r="P456" s="25">
        <v>6.9</v>
      </c>
      <c r="Q456" t="str">
        <f t="shared" si="64"/>
        <v>0455</v>
      </c>
      <c r="R456" t="str">
        <f>IF('RETAIL SALES DATA.'!H456&gt;AVERAGE('RETAIL SALES DATA.'!H456:H1455),"HIGHEST VALUE","LOWEST VALUE")</f>
        <v>LOWEST VALUE</v>
      </c>
      <c r="S456" t="str">
        <f t="shared" si="65"/>
        <v>Profit</v>
      </c>
      <c r="T456" t="str">
        <f t="shared" si="66"/>
        <v>Mark Reed</v>
      </c>
      <c r="U456" t="str">
        <f t="shared" si="67"/>
        <v>Monitor</v>
      </c>
      <c r="V456">
        <f t="shared" si="68"/>
        <v>2026</v>
      </c>
      <c r="W456">
        <f t="shared" si="69"/>
        <v>5</v>
      </c>
      <c r="X456">
        <f t="shared" si="70"/>
        <v>7</v>
      </c>
      <c r="Y456" t="str">
        <f t="shared" si="71"/>
        <v>May</v>
      </c>
      <c r="Z456">
        <f t="shared" si="72"/>
        <v>10</v>
      </c>
    </row>
    <row r="457" spans="1:26" ht="15.75" customHeight="1" x14ac:dyDescent="0.3">
      <c r="A457" s="2" t="s">
        <v>1169</v>
      </c>
      <c r="B457" s="2" t="s">
        <v>1170</v>
      </c>
      <c r="C457" s="2" t="s">
        <v>88</v>
      </c>
      <c r="D457" s="2" t="s">
        <v>31</v>
      </c>
      <c r="E457" s="2" t="s">
        <v>20</v>
      </c>
      <c r="F457" s="2">
        <v>6</v>
      </c>
      <c r="G457" s="2">
        <v>291.57</v>
      </c>
      <c r="H457" s="2">
        <v>1749.42</v>
      </c>
      <c r="I457" s="2">
        <v>1414.01</v>
      </c>
      <c r="J457" s="2">
        <v>335.41</v>
      </c>
      <c r="K457" s="3">
        <v>45628</v>
      </c>
      <c r="L457" s="3">
        <v>45629</v>
      </c>
      <c r="M457" s="2" t="s">
        <v>58</v>
      </c>
      <c r="N457" s="2">
        <v>2</v>
      </c>
      <c r="O457" s="2" t="s">
        <v>557</v>
      </c>
      <c r="P457" s="25">
        <v>6.4</v>
      </c>
      <c r="Q457" t="str">
        <f t="shared" si="64"/>
        <v>0456</v>
      </c>
      <c r="R457" t="str">
        <f>IF('RETAIL SALES DATA.'!H457&gt;AVERAGE('RETAIL SALES DATA.'!H457:H1456),"HIGHEST VALUE","LOWEST VALUE")</f>
        <v>LOWEST VALUE</v>
      </c>
      <c r="S457" t="str">
        <f t="shared" si="65"/>
        <v>Profit</v>
      </c>
      <c r="T457" t="str">
        <f t="shared" si="66"/>
        <v>Jennifer Tucker</v>
      </c>
      <c r="U457" t="str">
        <f t="shared" si="67"/>
        <v>Cupboard</v>
      </c>
      <c r="V457">
        <f t="shared" si="68"/>
        <v>2024</v>
      </c>
      <c r="W457">
        <f t="shared" si="69"/>
        <v>12</v>
      </c>
      <c r="X457">
        <f t="shared" si="70"/>
        <v>2</v>
      </c>
      <c r="Y457" t="str">
        <f t="shared" si="71"/>
        <v>Dec</v>
      </c>
      <c r="Z457">
        <f t="shared" si="72"/>
        <v>1</v>
      </c>
    </row>
    <row r="458" spans="1:26" ht="15.75" customHeight="1" x14ac:dyDescent="0.3">
      <c r="A458" s="2" t="s">
        <v>1171</v>
      </c>
      <c r="B458" s="2" t="s">
        <v>1172</v>
      </c>
      <c r="C458" s="2" t="s">
        <v>62</v>
      </c>
      <c r="D458" s="2" t="s">
        <v>31</v>
      </c>
      <c r="E458" s="2" t="s">
        <v>32</v>
      </c>
      <c r="F458" s="2">
        <v>9</v>
      </c>
      <c r="G458" s="2">
        <v>89.3</v>
      </c>
      <c r="H458" s="2">
        <v>803.7</v>
      </c>
      <c r="I458" s="2">
        <v>653.6</v>
      </c>
      <c r="J458" s="2">
        <v>150.1</v>
      </c>
      <c r="K458" s="3">
        <v>46108</v>
      </c>
      <c r="L458" s="3">
        <v>46115</v>
      </c>
      <c r="M458" s="2" t="s">
        <v>50</v>
      </c>
      <c r="N458" s="2">
        <v>1</v>
      </c>
      <c r="O458" s="2" t="s">
        <v>923</v>
      </c>
      <c r="P458" s="25">
        <v>9.6999999999999993</v>
      </c>
      <c r="Q458" t="str">
        <f t="shared" si="64"/>
        <v>0457</v>
      </c>
      <c r="R458" t="str">
        <f>IF('RETAIL SALES DATA.'!H458&gt;AVERAGE('RETAIL SALES DATA.'!H458:H1457),"HIGHEST VALUE","LOWEST VALUE")</f>
        <v>LOWEST VALUE</v>
      </c>
      <c r="S458" t="str">
        <f t="shared" si="65"/>
        <v>Profit</v>
      </c>
      <c r="T458" t="str">
        <f t="shared" si="66"/>
        <v>David Sullivan</v>
      </c>
      <c r="U458" t="str">
        <f t="shared" si="67"/>
        <v>Table</v>
      </c>
      <c r="V458">
        <f t="shared" si="68"/>
        <v>2026</v>
      </c>
      <c r="W458">
        <f t="shared" si="69"/>
        <v>4</v>
      </c>
      <c r="X458">
        <f t="shared" si="70"/>
        <v>27</v>
      </c>
      <c r="Y458" t="str">
        <f t="shared" si="71"/>
        <v>Mar</v>
      </c>
      <c r="Z458">
        <f t="shared" si="72"/>
        <v>7</v>
      </c>
    </row>
    <row r="459" spans="1:26" ht="15.75" customHeight="1" x14ac:dyDescent="0.3">
      <c r="A459" s="2" t="s">
        <v>1173</v>
      </c>
      <c r="B459" s="2" t="s">
        <v>1174</v>
      </c>
      <c r="C459" s="2" t="s">
        <v>139</v>
      </c>
      <c r="D459" s="2" t="s">
        <v>31</v>
      </c>
      <c r="E459" s="2" t="s">
        <v>32</v>
      </c>
      <c r="F459" s="2">
        <v>7</v>
      </c>
      <c r="G459" s="2">
        <v>3754.48</v>
      </c>
      <c r="H459" s="2">
        <v>26281.360000000001</v>
      </c>
      <c r="I459" s="2">
        <v>17711.12</v>
      </c>
      <c r="J459" s="2">
        <v>8570.24</v>
      </c>
      <c r="K459" s="3">
        <v>45860</v>
      </c>
      <c r="L459" s="3">
        <v>45869</v>
      </c>
      <c r="M459" s="2" t="s">
        <v>58</v>
      </c>
      <c r="N459" s="2">
        <v>3</v>
      </c>
      <c r="O459" s="2" t="s">
        <v>1026</v>
      </c>
      <c r="P459" s="25">
        <v>8.4</v>
      </c>
      <c r="Q459" t="str">
        <f t="shared" si="64"/>
        <v>0458</v>
      </c>
      <c r="R459" t="str">
        <f>IF('RETAIL SALES DATA.'!H459&gt;AVERAGE('RETAIL SALES DATA.'!H459:H1458),"HIGHEST VALUE","LOWEST VALUE")</f>
        <v>HIGHEST VALUE</v>
      </c>
      <c r="S459" t="str">
        <f t="shared" si="65"/>
        <v>Profit</v>
      </c>
      <c r="T459" t="str">
        <f t="shared" si="66"/>
        <v>Julie Daniels</v>
      </c>
      <c r="U459" t="str">
        <f t="shared" si="67"/>
        <v>Sofa</v>
      </c>
      <c r="V459">
        <f t="shared" si="68"/>
        <v>2025</v>
      </c>
      <c r="W459">
        <f t="shared" si="69"/>
        <v>7</v>
      </c>
      <c r="X459">
        <f t="shared" si="70"/>
        <v>22</v>
      </c>
      <c r="Y459" t="str">
        <f t="shared" si="71"/>
        <v>Jul</v>
      </c>
      <c r="Z459">
        <f t="shared" si="72"/>
        <v>9</v>
      </c>
    </row>
    <row r="460" spans="1:26" ht="15.75" customHeight="1" x14ac:dyDescent="0.3">
      <c r="A460" s="2" t="s">
        <v>1175</v>
      </c>
      <c r="B460" s="2" t="s">
        <v>1176</v>
      </c>
      <c r="C460" s="2" t="s">
        <v>72</v>
      </c>
      <c r="D460" s="2" t="s">
        <v>31</v>
      </c>
      <c r="E460" s="2" t="s">
        <v>44</v>
      </c>
      <c r="F460" s="2">
        <v>16</v>
      </c>
      <c r="G460" s="2">
        <v>1374.64</v>
      </c>
      <c r="H460" s="2">
        <v>21994.240000000002</v>
      </c>
      <c r="I460" s="2">
        <v>14820.46</v>
      </c>
      <c r="J460" s="2">
        <v>7173.78</v>
      </c>
      <c r="K460" s="3">
        <v>45952</v>
      </c>
      <c r="L460" s="3">
        <v>45955</v>
      </c>
      <c r="M460" s="2" t="s">
        <v>21</v>
      </c>
      <c r="N460" s="2">
        <v>2</v>
      </c>
      <c r="O460" s="2" t="s">
        <v>394</v>
      </c>
      <c r="P460" s="25">
        <v>6.8</v>
      </c>
      <c r="Q460" t="str">
        <f t="shared" si="64"/>
        <v>0459</v>
      </c>
      <c r="R460" t="str">
        <f>IF('RETAIL SALES DATA.'!H460&gt;AVERAGE('RETAIL SALES DATA.'!H460:H1459),"HIGHEST VALUE","LOWEST VALUE")</f>
        <v>LOWEST VALUE</v>
      </c>
      <c r="S460" t="str">
        <f t="shared" si="65"/>
        <v>Profit</v>
      </c>
      <c r="T460" t="str">
        <f t="shared" si="66"/>
        <v>Latoya Holloway</v>
      </c>
      <c r="U460" t="str">
        <f t="shared" si="67"/>
        <v>Chair</v>
      </c>
      <c r="V460">
        <f t="shared" si="68"/>
        <v>2025</v>
      </c>
      <c r="W460">
        <f t="shared" si="69"/>
        <v>10</v>
      </c>
      <c r="X460">
        <f t="shared" si="70"/>
        <v>22</v>
      </c>
      <c r="Y460" t="str">
        <f t="shared" si="71"/>
        <v>Oct</v>
      </c>
      <c r="Z460">
        <f t="shared" si="72"/>
        <v>3</v>
      </c>
    </row>
    <row r="461" spans="1:26" ht="15.75" customHeight="1" x14ac:dyDescent="0.3">
      <c r="A461" s="2" t="s">
        <v>1177</v>
      </c>
      <c r="B461" s="2" t="s">
        <v>1178</v>
      </c>
      <c r="C461" s="2" t="s">
        <v>62</v>
      </c>
      <c r="D461" s="2" t="s">
        <v>31</v>
      </c>
      <c r="E461" s="2" t="s">
        <v>32</v>
      </c>
      <c r="F461" s="2">
        <v>4</v>
      </c>
      <c r="G461" s="2">
        <v>3106.94</v>
      </c>
      <c r="H461" s="2">
        <v>12427.76</v>
      </c>
      <c r="I461" s="2">
        <v>9929.68</v>
      </c>
      <c r="J461" s="2">
        <v>2498.08</v>
      </c>
      <c r="K461" s="3">
        <v>46082</v>
      </c>
      <c r="L461" s="3">
        <v>46090</v>
      </c>
      <c r="M461" s="2" t="s">
        <v>21</v>
      </c>
      <c r="N461" s="2">
        <v>5</v>
      </c>
      <c r="O461" s="2" t="s">
        <v>102</v>
      </c>
      <c r="P461" s="25">
        <v>9.1</v>
      </c>
      <c r="Q461" t="str">
        <f t="shared" si="64"/>
        <v>0460</v>
      </c>
      <c r="R461" t="str">
        <f>IF('RETAIL SALES DATA.'!H461&gt;AVERAGE('RETAIL SALES DATA.'!H461:H1460),"HIGHEST VALUE","LOWEST VALUE")</f>
        <v>LOWEST VALUE</v>
      </c>
      <c r="S461" t="str">
        <f t="shared" si="65"/>
        <v>Profit</v>
      </c>
      <c r="T461" t="str">
        <f t="shared" si="66"/>
        <v>Gary Sosa</v>
      </c>
      <c r="U461" t="str">
        <f t="shared" si="67"/>
        <v>Table</v>
      </c>
      <c r="V461">
        <f t="shared" si="68"/>
        <v>2026</v>
      </c>
      <c r="W461">
        <f t="shared" si="69"/>
        <v>3</v>
      </c>
      <c r="X461">
        <f t="shared" si="70"/>
        <v>1</v>
      </c>
      <c r="Y461" t="str">
        <f t="shared" si="71"/>
        <v>Mar</v>
      </c>
      <c r="Z461">
        <f t="shared" si="72"/>
        <v>8</v>
      </c>
    </row>
    <row r="462" spans="1:26" ht="15.75" customHeight="1" x14ac:dyDescent="0.3">
      <c r="A462" s="2" t="s">
        <v>1179</v>
      </c>
      <c r="B462" s="2" t="s">
        <v>1180</v>
      </c>
      <c r="C462" s="2" t="s">
        <v>95</v>
      </c>
      <c r="D462" s="2" t="s">
        <v>19</v>
      </c>
      <c r="E462" s="2" t="s">
        <v>25</v>
      </c>
      <c r="F462" s="2">
        <v>17</v>
      </c>
      <c r="G462" s="2">
        <v>1616.35</v>
      </c>
      <c r="H462" s="2">
        <v>27477.95</v>
      </c>
      <c r="I462" s="2">
        <v>18802.849999999999</v>
      </c>
      <c r="J462" s="2">
        <v>8675.1</v>
      </c>
      <c r="K462" s="3">
        <v>46039</v>
      </c>
      <c r="L462" s="3">
        <v>46043</v>
      </c>
      <c r="M462" s="2" t="s">
        <v>45</v>
      </c>
      <c r="N462" s="2">
        <v>4</v>
      </c>
      <c r="O462" s="2" t="s">
        <v>515</v>
      </c>
      <c r="P462" s="25">
        <v>8</v>
      </c>
      <c r="Q462" t="str">
        <f t="shared" si="64"/>
        <v>0461</v>
      </c>
      <c r="R462" t="str">
        <f>IF('RETAIL SALES DATA.'!H462&gt;AVERAGE('RETAIL SALES DATA.'!H462:H1461),"HIGHEST VALUE","LOWEST VALUE")</f>
        <v>HIGHEST VALUE</v>
      </c>
      <c r="S462" t="str">
        <f t="shared" si="65"/>
        <v>Profit</v>
      </c>
      <c r="T462" t="str">
        <f t="shared" si="66"/>
        <v>Jessica Dominguez</v>
      </c>
      <c r="U462" t="str">
        <f t="shared" si="67"/>
        <v>Printer</v>
      </c>
      <c r="V462">
        <f t="shared" si="68"/>
        <v>2026</v>
      </c>
      <c r="W462">
        <f t="shared" si="69"/>
        <v>1</v>
      </c>
      <c r="X462">
        <f t="shared" si="70"/>
        <v>17</v>
      </c>
      <c r="Y462" t="str">
        <f t="shared" si="71"/>
        <v>Jan</v>
      </c>
      <c r="Z462">
        <f t="shared" si="72"/>
        <v>4</v>
      </c>
    </row>
    <row r="463" spans="1:26" ht="15.75" customHeight="1" x14ac:dyDescent="0.3">
      <c r="A463" s="2" t="s">
        <v>1181</v>
      </c>
      <c r="B463" s="2" t="s">
        <v>1182</v>
      </c>
      <c r="C463" s="2" t="s">
        <v>95</v>
      </c>
      <c r="D463" s="2" t="s">
        <v>19</v>
      </c>
      <c r="E463" s="2" t="s">
        <v>44</v>
      </c>
      <c r="F463" s="2">
        <v>18</v>
      </c>
      <c r="G463" s="2">
        <v>1297.17</v>
      </c>
      <c r="H463" s="2">
        <v>23349.06</v>
      </c>
      <c r="I463" s="2">
        <v>17280.55</v>
      </c>
      <c r="J463" s="2">
        <v>6068.51</v>
      </c>
      <c r="K463" s="3">
        <v>45870</v>
      </c>
      <c r="L463" s="3">
        <v>45871</v>
      </c>
      <c r="M463" s="2" t="s">
        <v>21</v>
      </c>
      <c r="N463" s="2">
        <v>4</v>
      </c>
      <c r="O463" s="2" t="s">
        <v>802</v>
      </c>
      <c r="P463" s="25">
        <v>6.8</v>
      </c>
      <c r="Q463" t="str">
        <f t="shared" si="64"/>
        <v>0462</v>
      </c>
      <c r="R463" t="str">
        <f>IF('RETAIL SALES DATA.'!H463&gt;AVERAGE('RETAIL SALES DATA.'!H463:H1462),"HIGHEST VALUE","LOWEST VALUE")</f>
        <v>LOWEST VALUE</v>
      </c>
      <c r="S463" t="str">
        <f t="shared" si="65"/>
        <v>Profit</v>
      </c>
      <c r="T463" t="str">
        <f t="shared" si="66"/>
        <v>Amy Carpenter</v>
      </c>
      <c r="U463" t="str">
        <f t="shared" si="67"/>
        <v>Printer</v>
      </c>
      <c r="V463">
        <f t="shared" si="68"/>
        <v>2025</v>
      </c>
      <c r="W463">
        <f t="shared" si="69"/>
        <v>8</v>
      </c>
      <c r="X463">
        <f t="shared" si="70"/>
        <v>1</v>
      </c>
      <c r="Y463" t="str">
        <f t="shared" si="71"/>
        <v>Aug</v>
      </c>
      <c r="Z463">
        <f t="shared" si="72"/>
        <v>1</v>
      </c>
    </row>
    <row r="464" spans="1:26" ht="15.75" customHeight="1" x14ac:dyDescent="0.3">
      <c r="A464" s="2" t="s">
        <v>1183</v>
      </c>
      <c r="B464" s="2" t="s">
        <v>1184</v>
      </c>
      <c r="C464" s="2" t="s">
        <v>95</v>
      </c>
      <c r="D464" s="2" t="s">
        <v>19</v>
      </c>
      <c r="E464" s="2" t="s">
        <v>25</v>
      </c>
      <c r="F464" s="2">
        <v>19</v>
      </c>
      <c r="G464" s="2">
        <v>4664.8500000000004</v>
      </c>
      <c r="H464" s="2">
        <v>88632.15</v>
      </c>
      <c r="I464" s="2">
        <v>70313.899999999994</v>
      </c>
      <c r="J464" s="2">
        <v>18318.25</v>
      </c>
      <c r="K464" s="3">
        <v>45454</v>
      </c>
      <c r="L464" s="3">
        <v>45464</v>
      </c>
      <c r="M464" s="2" t="s">
        <v>45</v>
      </c>
      <c r="N464" s="2">
        <v>1</v>
      </c>
      <c r="O464" s="2" t="s">
        <v>276</v>
      </c>
      <c r="P464" s="25">
        <v>8.9</v>
      </c>
      <c r="Q464" t="str">
        <f t="shared" si="64"/>
        <v>0463</v>
      </c>
      <c r="R464" t="str">
        <f>IF('RETAIL SALES DATA.'!H464&gt;AVERAGE('RETAIL SALES DATA.'!H464:H1463),"HIGHEST VALUE","LOWEST VALUE")</f>
        <v>HIGHEST VALUE</v>
      </c>
      <c r="S464" t="str">
        <f t="shared" si="65"/>
        <v>Profit</v>
      </c>
      <c r="T464" t="str">
        <f t="shared" si="66"/>
        <v>Daniel White</v>
      </c>
      <c r="U464" t="str">
        <f t="shared" si="67"/>
        <v>Printer</v>
      </c>
      <c r="V464">
        <f t="shared" si="68"/>
        <v>2024</v>
      </c>
      <c r="W464">
        <f t="shared" si="69"/>
        <v>6</v>
      </c>
      <c r="X464">
        <f t="shared" si="70"/>
        <v>11</v>
      </c>
      <c r="Y464" t="str">
        <f t="shared" si="71"/>
        <v>Jun</v>
      </c>
      <c r="Z464">
        <f t="shared" si="72"/>
        <v>10</v>
      </c>
    </row>
    <row r="465" spans="1:26" ht="15.75" customHeight="1" x14ac:dyDescent="0.3">
      <c r="A465" s="2" t="s">
        <v>1185</v>
      </c>
      <c r="B465" s="2" t="s">
        <v>1186</v>
      </c>
      <c r="C465" s="2" t="s">
        <v>62</v>
      </c>
      <c r="D465" s="2" t="s">
        <v>31</v>
      </c>
      <c r="E465" s="2" t="s">
        <v>44</v>
      </c>
      <c r="F465" s="2">
        <v>15</v>
      </c>
      <c r="G465" s="2">
        <v>660.73</v>
      </c>
      <c r="H465" s="2">
        <v>9910.9500000000007</v>
      </c>
      <c r="I465" s="2">
        <v>5509.2</v>
      </c>
      <c r="J465" s="2">
        <v>4401.75</v>
      </c>
      <c r="K465" s="3">
        <v>45981</v>
      </c>
      <c r="L465" s="3">
        <v>45991</v>
      </c>
      <c r="M465" s="2" t="s">
        <v>38</v>
      </c>
      <c r="N465" s="2">
        <v>2</v>
      </c>
      <c r="O465" s="2" t="s">
        <v>998</v>
      </c>
      <c r="P465" s="25">
        <v>7.2</v>
      </c>
      <c r="Q465" t="str">
        <f t="shared" si="64"/>
        <v>0464</v>
      </c>
      <c r="R465" t="str">
        <f>IF('RETAIL SALES DATA.'!H465&gt;AVERAGE('RETAIL SALES DATA.'!H465:H1464),"HIGHEST VALUE","LOWEST VALUE")</f>
        <v>LOWEST VALUE</v>
      </c>
      <c r="S465" t="str">
        <f t="shared" si="65"/>
        <v>Profit</v>
      </c>
      <c r="T465" t="str">
        <f t="shared" si="66"/>
        <v>Crystal Brewer</v>
      </c>
      <c r="U465" t="str">
        <f t="shared" si="67"/>
        <v>Table</v>
      </c>
      <c r="V465">
        <f t="shared" si="68"/>
        <v>2025</v>
      </c>
      <c r="W465">
        <f t="shared" si="69"/>
        <v>11</v>
      </c>
      <c r="X465">
        <f t="shared" si="70"/>
        <v>20</v>
      </c>
      <c r="Y465" t="str">
        <f t="shared" si="71"/>
        <v>Nov</v>
      </c>
      <c r="Z465">
        <f t="shared" si="72"/>
        <v>10</v>
      </c>
    </row>
    <row r="466" spans="1:26" ht="15.75" customHeight="1" x14ac:dyDescent="0.3">
      <c r="A466" s="2" t="s">
        <v>1187</v>
      </c>
      <c r="B466" s="2" t="s">
        <v>1188</v>
      </c>
      <c r="C466" s="2" t="s">
        <v>95</v>
      </c>
      <c r="D466" s="2" t="s">
        <v>19</v>
      </c>
      <c r="E466" s="2" t="s">
        <v>20</v>
      </c>
      <c r="F466" s="2">
        <v>16</v>
      </c>
      <c r="G466" s="2">
        <v>4967.6400000000003</v>
      </c>
      <c r="H466" s="2">
        <v>79482.240000000005</v>
      </c>
      <c r="I466" s="2">
        <v>53263.839999999997</v>
      </c>
      <c r="J466" s="2">
        <v>26218.400000000001</v>
      </c>
      <c r="K466" s="3">
        <v>45511</v>
      </c>
      <c r="L466" s="3">
        <v>45519</v>
      </c>
      <c r="M466" s="2" t="s">
        <v>33</v>
      </c>
      <c r="N466" s="2">
        <v>2</v>
      </c>
      <c r="O466" s="2" t="s">
        <v>196</v>
      </c>
      <c r="P466" s="25">
        <v>7.7</v>
      </c>
      <c r="Q466" t="str">
        <f t="shared" si="64"/>
        <v>0465</v>
      </c>
      <c r="R466" t="str">
        <f>IF('RETAIL SALES DATA.'!H466&gt;AVERAGE('RETAIL SALES DATA.'!H466:H1465),"HIGHEST VALUE","LOWEST VALUE")</f>
        <v>HIGHEST VALUE</v>
      </c>
      <c r="S466" t="str">
        <f t="shared" si="65"/>
        <v>Profit</v>
      </c>
      <c r="T466" t="str">
        <f t="shared" si="66"/>
        <v>Christopher Cross</v>
      </c>
      <c r="U466" t="str">
        <f t="shared" si="67"/>
        <v>Printer</v>
      </c>
      <c r="V466">
        <f t="shared" si="68"/>
        <v>2024</v>
      </c>
      <c r="W466">
        <f t="shared" si="69"/>
        <v>8</v>
      </c>
      <c r="X466">
        <f t="shared" si="70"/>
        <v>7</v>
      </c>
      <c r="Y466" t="str">
        <f t="shared" si="71"/>
        <v>Aug</v>
      </c>
      <c r="Z466">
        <f t="shared" si="72"/>
        <v>8</v>
      </c>
    </row>
    <row r="467" spans="1:26" ht="15.75" customHeight="1" x14ac:dyDescent="0.3">
      <c r="A467" s="2" t="s">
        <v>1189</v>
      </c>
      <c r="B467" s="2" t="s">
        <v>1190</v>
      </c>
      <c r="C467" s="2" t="s">
        <v>42</v>
      </c>
      <c r="D467" s="2" t="s">
        <v>43</v>
      </c>
      <c r="E467" s="2" t="s">
        <v>25</v>
      </c>
      <c r="F467" s="2">
        <v>9</v>
      </c>
      <c r="G467" s="2">
        <v>1831.96</v>
      </c>
      <c r="H467" s="2">
        <v>16487.64</v>
      </c>
      <c r="I467" s="2">
        <v>9785.5499999999993</v>
      </c>
      <c r="J467" s="2">
        <v>6702.09</v>
      </c>
      <c r="K467" s="3">
        <v>46112</v>
      </c>
      <c r="L467" s="3">
        <v>46120</v>
      </c>
      <c r="M467" s="2" t="s">
        <v>69</v>
      </c>
      <c r="N467" s="2">
        <v>5</v>
      </c>
      <c r="O467" s="2" t="s">
        <v>1191</v>
      </c>
      <c r="P467" s="25">
        <v>6.6</v>
      </c>
      <c r="Q467" t="str">
        <f t="shared" si="64"/>
        <v>0466</v>
      </c>
      <c r="R467" t="str">
        <f>IF('RETAIL SALES DATA.'!H467&gt;AVERAGE('RETAIL SALES DATA.'!H467:H1466),"HIGHEST VALUE","LOWEST VALUE")</f>
        <v>LOWEST VALUE</v>
      </c>
      <c r="S467" t="str">
        <f t="shared" si="65"/>
        <v>Profit</v>
      </c>
      <c r="T467" t="str">
        <f t="shared" si="66"/>
        <v>Robert Roberts</v>
      </c>
      <c r="U467" t="str">
        <f t="shared" si="67"/>
        <v>Laptop</v>
      </c>
      <c r="V467">
        <f t="shared" si="68"/>
        <v>2026</v>
      </c>
      <c r="W467">
        <f t="shared" si="69"/>
        <v>4</v>
      </c>
      <c r="X467">
        <f t="shared" si="70"/>
        <v>31</v>
      </c>
      <c r="Y467" t="str">
        <f t="shared" si="71"/>
        <v>Mar</v>
      </c>
      <c r="Z467">
        <f t="shared" si="72"/>
        <v>8</v>
      </c>
    </row>
    <row r="468" spans="1:26" ht="15.75" customHeight="1" x14ac:dyDescent="0.3">
      <c r="A468" s="2" t="s">
        <v>1192</v>
      </c>
      <c r="B468" s="2" t="s">
        <v>1193</v>
      </c>
      <c r="C468" s="2" t="s">
        <v>18</v>
      </c>
      <c r="D468" s="2" t="s">
        <v>19</v>
      </c>
      <c r="E468" s="2" t="s">
        <v>20</v>
      </c>
      <c r="F468" s="2">
        <v>1</v>
      </c>
      <c r="G468" s="2">
        <v>1209.77</v>
      </c>
      <c r="H468" s="2">
        <v>1209.77</v>
      </c>
      <c r="I468" s="2">
        <v>714.44</v>
      </c>
      <c r="J468" s="2">
        <v>495.33</v>
      </c>
      <c r="K468" s="3">
        <v>46101</v>
      </c>
      <c r="L468" s="3">
        <v>46106</v>
      </c>
      <c r="M468" s="2" t="s">
        <v>50</v>
      </c>
      <c r="N468" s="2">
        <v>2</v>
      </c>
      <c r="O468" s="2" t="s">
        <v>192</v>
      </c>
      <c r="P468" s="25">
        <v>8.1999999999999993</v>
      </c>
      <c r="Q468" t="str">
        <f t="shared" si="64"/>
        <v>0467</v>
      </c>
      <c r="R468" t="str">
        <f>IF('RETAIL SALES DATA.'!H468&gt;AVERAGE('RETAIL SALES DATA.'!H468:H1467),"HIGHEST VALUE","LOWEST VALUE")</f>
        <v>LOWEST VALUE</v>
      </c>
      <c r="S468" t="str">
        <f t="shared" si="65"/>
        <v>Profit</v>
      </c>
      <c r="T468" t="str">
        <f t="shared" si="66"/>
        <v>Courtney White</v>
      </c>
      <c r="U468" t="str">
        <f t="shared" si="67"/>
        <v>Pen</v>
      </c>
      <c r="V468">
        <f t="shared" si="68"/>
        <v>2026</v>
      </c>
      <c r="W468">
        <f t="shared" si="69"/>
        <v>3</v>
      </c>
      <c r="X468">
        <f t="shared" si="70"/>
        <v>20</v>
      </c>
      <c r="Y468" t="str">
        <f t="shared" si="71"/>
        <v>Mar</v>
      </c>
      <c r="Z468">
        <f t="shared" si="72"/>
        <v>5</v>
      </c>
    </row>
    <row r="469" spans="1:26" ht="15.75" customHeight="1" x14ac:dyDescent="0.3">
      <c r="A469" s="2" t="s">
        <v>1194</v>
      </c>
      <c r="B469" s="2" t="s">
        <v>1195</v>
      </c>
      <c r="C469" s="2" t="s">
        <v>37</v>
      </c>
      <c r="D469" s="2" t="s">
        <v>19</v>
      </c>
      <c r="E469" s="2" t="s">
        <v>25</v>
      </c>
      <c r="F469" s="2">
        <v>9</v>
      </c>
      <c r="G469" s="2">
        <v>2731.63</v>
      </c>
      <c r="H469" s="2">
        <v>24584.67</v>
      </c>
      <c r="I469" s="2">
        <v>14106.04</v>
      </c>
      <c r="J469" s="2">
        <v>10478.629999999999</v>
      </c>
      <c r="K469" s="3">
        <v>45718</v>
      </c>
      <c r="L469" s="3">
        <v>45724</v>
      </c>
      <c r="M469" s="2" t="s">
        <v>33</v>
      </c>
      <c r="N469" s="2">
        <v>4</v>
      </c>
      <c r="O469" s="2" t="s">
        <v>300</v>
      </c>
      <c r="P469" s="25">
        <v>7.8</v>
      </c>
      <c r="Q469" t="str">
        <f t="shared" si="64"/>
        <v>0468</v>
      </c>
      <c r="R469" t="str">
        <f>IF('RETAIL SALES DATA.'!H469&gt;AVERAGE('RETAIL SALES DATA.'!H469:H1468),"HIGHEST VALUE","LOWEST VALUE")</f>
        <v>LOWEST VALUE</v>
      </c>
      <c r="S469" t="str">
        <f t="shared" si="65"/>
        <v>Profit</v>
      </c>
      <c r="T469" t="str">
        <f t="shared" si="66"/>
        <v>Hunter Fernandez</v>
      </c>
      <c r="U469" t="str">
        <f t="shared" si="67"/>
        <v>Marker</v>
      </c>
      <c r="V469">
        <f t="shared" si="68"/>
        <v>2025</v>
      </c>
      <c r="W469">
        <f t="shared" si="69"/>
        <v>3</v>
      </c>
      <c r="X469">
        <f t="shared" si="70"/>
        <v>2</v>
      </c>
      <c r="Y469" t="str">
        <f t="shared" si="71"/>
        <v>Mar</v>
      </c>
      <c r="Z469">
        <f t="shared" si="72"/>
        <v>6</v>
      </c>
    </row>
    <row r="470" spans="1:26" ht="15.75" customHeight="1" x14ac:dyDescent="0.3">
      <c r="A470" s="2" t="s">
        <v>1196</v>
      </c>
      <c r="B470" s="2" t="s">
        <v>1197</v>
      </c>
      <c r="C470" s="2" t="s">
        <v>219</v>
      </c>
      <c r="D470" s="2" t="s">
        <v>43</v>
      </c>
      <c r="E470" s="2" t="s">
        <v>44</v>
      </c>
      <c r="F470" s="2">
        <v>10</v>
      </c>
      <c r="G470" s="2">
        <v>1027.18</v>
      </c>
      <c r="H470" s="2">
        <v>10271.799999999999</v>
      </c>
      <c r="I470" s="2">
        <v>5773.39</v>
      </c>
      <c r="J470" s="2">
        <v>4498.41</v>
      </c>
      <c r="K470" s="3">
        <v>45807</v>
      </c>
      <c r="L470" s="3">
        <v>45816</v>
      </c>
      <c r="M470" s="2" t="s">
        <v>181</v>
      </c>
      <c r="N470" s="2">
        <v>5</v>
      </c>
      <c r="O470" s="2" t="s">
        <v>645</v>
      </c>
      <c r="P470" s="25">
        <v>9</v>
      </c>
      <c r="Q470" t="str">
        <f t="shared" si="64"/>
        <v>0469</v>
      </c>
      <c r="R470" t="str">
        <f>IF('RETAIL SALES DATA.'!H470&gt;AVERAGE('RETAIL SALES DATA.'!H470:H1469),"HIGHEST VALUE","LOWEST VALUE")</f>
        <v>LOWEST VALUE</v>
      </c>
      <c r="S470" t="str">
        <f t="shared" si="65"/>
        <v>Profit</v>
      </c>
      <c r="T470" t="str">
        <f t="shared" si="66"/>
        <v>William Pennington</v>
      </c>
      <c r="U470" t="str">
        <f t="shared" si="67"/>
        <v>Smartphone</v>
      </c>
      <c r="V470">
        <f t="shared" si="68"/>
        <v>2025</v>
      </c>
      <c r="W470">
        <f t="shared" si="69"/>
        <v>6</v>
      </c>
      <c r="X470">
        <f t="shared" si="70"/>
        <v>30</v>
      </c>
      <c r="Y470" t="str">
        <f t="shared" si="71"/>
        <v>May</v>
      </c>
      <c r="Z470">
        <f t="shared" si="72"/>
        <v>9</v>
      </c>
    </row>
    <row r="471" spans="1:26" ht="15.75" customHeight="1" x14ac:dyDescent="0.3">
      <c r="A471" s="2" t="s">
        <v>1198</v>
      </c>
      <c r="B471" s="2" t="s">
        <v>1199</v>
      </c>
      <c r="C471" s="2" t="s">
        <v>195</v>
      </c>
      <c r="D471" s="2" t="s">
        <v>43</v>
      </c>
      <c r="E471" s="2" t="s">
        <v>25</v>
      </c>
      <c r="F471" s="2">
        <v>20</v>
      </c>
      <c r="G471" s="2">
        <v>1867.62</v>
      </c>
      <c r="H471" s="2">
        <v>37352.400000000001</v>
      </c>
      <c r="I471" s="2">
        <v>27218.74</v>
      </c>
      <c r="J471" s="2">
        <v>10133.66</v>
      </c>
      <c r="K471" s="3">
        <v>45697</v>
      </c>
      <c r="L471" s="3">
        <v>45702</v>
      </c>
      <c r="M471" s="2" t="s">
        <v>123</v>
      </c>
      <c r="N471" s="2">
        <v>4</v>
      </c>
      <c r="O471" s="2" t="s">
        <v>175</v>
      </c>
      <c r="P471" s="25">
        <v>7.9</v>
      </c>
      <c r="Q471" t="str">
        <f t="shared" si="64"/>
        <v>0470</v>
      </c>
      <c r="R471" t="str">
        <f>IF('RETAIL SALES DATA.'!H471&gt;AVERAGE('RETAIL SALES DATA.'!H471:H1470),"HIGHEST VALUE","LOWEST VALUE")</f>
        <v>HIGHEST VALUE</v>
      </c>
      <c r="S471" t="str">
        <f t="shared" si="65"/>
        <v>Profit</v>
      </c>
      <c r="T471" t="str">
        <f t="shared" si="66"/>
        <v>Vincent Smith</v>
      </c>
      <c r="U471" t="str">
        <f t="shared" si="67"/>
        <v>Monitor</v>
      </c>
      <c r="V471">
        <f t="shared" si="68"/>
        <v>2025</v>
      </c>
      <c r="W471">
        <f t="shared" si="69"/>
        <v>2</v>
      </c>
      <c r="X471">
        <f t="shared" si="70"/>
        <v>9</v>
      </c>
      <c r="Y471" t="str">
        <f t="shared" si="71"/>
        <v>Feb</v>
      </c>
      <c r="Z471">
        <f t="shared" si="72"/>
        <v>5</v>
      </c>
    </row>
    <row r="472" spans="1:26" ht="15.75" customHeight="1" x14ac:dyDescent="0.3">
      <c r="A472" s="2" t="s">
        <v>1200</v>
      </c>
      <c r="B472" s="2" t="s">
        <v>1201</v>
      </c>
      <c r="C472" s="2" t="s">
        <v>195</v>
      </c>
      <c r="D472" s="2" t="s">
        <v>43</v>
      </c>
      <c r="E472" s="2" t="s">
        <v>44</v>
      </c>
      <c r="F472" s="2">
        <v>11</v>
      </c>
      <c r="G472" s="2">
        <v>2940.07</v>
      </c>
      <c r="H472" s="2">
        <v>32340.77</v>
      </c>
      <c r="I472" s="2">
        <v>27943.15</v>
      </c>
      <c r="J472" s="2">
        <v>4397.62</v>
      </c>
      <c r="K472" s="3">
        <v>45849</v>
      </c>
      <c r="L472" s="3">
        <v>45859</v>
      </c>
      <c r="M472" s="2" t="s">
        <v>181</v>
      </c>
      <c r="N472" s="2">
        <v>4</v>
      </c>
      <c r="O472" s="2" t="s">
        <v>463</v>
      </c>
      <c r="P472" s="25">
        <v>8.1999999999999993</v>
      </c>
      <c r="Q472" t="str">
        <f t="shared" si="64"/>
        <v>0471</v>
      </c>
      <c r="R472" t="str">
        <f>IF('RETAIL SALES DATA.'!H472&gt;AVERAGE('RETAIL SALES DATA.'!H472:H1471),"HIGHEST VALUE","LOWEST VALUE")</f>
        <v>HIGHEST VALUE</v>
      </c>
      <c r="S472" t="str">
        <f t="shared" si="65"/>
        <v>Profit</v>
      </c>
      <c r="T472" t="str">
        <f t="shared" si="66"/>
        <v>Chloe Fisher</v>
      </c>
      <c r="U472" t="str">
        <f t="shared" si="67"/>
        <v>Monitor</v>
      </c>
      <c r="V472">
        <f t="shared" si="68"/>
        <v>2025</v>
      </c>
      <c r="W472">
        <f t="shared" si="69"/>
        <v>7</v>
      </c>
      <c r="X472">
        <f t="shared" si="70"/>
        <v>11</v>
      </c>
      <c r="Y472" t="str">
        <f t="shared" si="71"/>
        <v>Jul</v>
      </c>
      <c r="Z472">
        <f t="shared" si="72"/>
        <v>10</v>
      </c>
    </row>
    <row r="473" spans="1:26" ht="15.75" customHeight="1" x14ac:dyDescent="0.3">
      <c r="A473" s="2" t="s">
        <v>1202</v>
      </c>
      <c r="B473" s="2" t="s">
        <v>1203</v>
      </c>
      <c r="C473" s="2" t="s">
        <v>30</v>
      </c>
      <c r="D473" s="2" t="s">
        <v>31</v>
      </c>
      <c r="E473" s="2" t="s">
        <v>25</v>
      </c>
      <c r="F473" s="2">
        <v>4</v>
      </c>
      <c r="G473" s="2">
        <v>4043.53</v>
      </c>
      <c r="H473" s="2">
        <v>16174.12</v>
      </c>
      <c r="I473" s="2">
        <v>13033.63</v>
      </c>
      <c r="J473" s="2">
        <v>3140.49</v>
      </c>
      <c r="K473" s="3">
        <v>46120</v>
      </c>
      <c r="L473" s="3">
        <v>46124</v>
      </c>
      <c r="M473" s="2" t="s">
        <v>58</v>
      </c>
      <c r="N473" s="2">
        <v>4</v>
      </c>
      <c r="O473" s="2" t="s">
        <v>809</v>
      </c>
      <c r="P473" s="25">
        <v>6.4</v>
      </c>
      <c r="Q473" t="str">
        <f t="shared" si="64"/>
        <v>0472</v>
      </c>
      <c r="R473" t="str">
        <f>IF('RETAIL SALES DATA.'!H473&gt;AVERAGE('RETAIL SALES DATA.'!H473:H1472),"HIGHEST VALUE","LOWEST VALUE")</f>
        <v>LOWEST VALUE</v>
      </c>
      <c r="S473" t="str">
        <f t="shared" si="65"/>
        <v>Profit</v>
      </c>
      <c r="T473" t="str">
        <f t="shared" si="66"/>
        <v>Rebekah Reyes</v>
      </c>
      <c r="U473" t="str">
        <f t="shared" si="67"/>
        <v>Desk</v>
      </c>
      <c r="V473">
        <f t="shared" si="68"/>
        <v>2026</v>
      </c>
      <c r="W473">
        <f t="shared" si="69"/>
        <v>4</v>
      </c>
      <c r="X473">
        <f t="shared" si="70"/>
        <v>8</v>
      </c>
      <c r="Y473" t="str">
        <f t="shared" si="71"/>
        <v>Apr</v>
      </c>
      <c r="Z473">
        <f t="shared" si="72"/>
        <v>4</v>
      </c>
    </row>
    <row r="474" spans="1:26" ht="15.75" customHeight="1" x14ac:dyDescent="0.3">
      <c r="A474" s="2" t="s">
        <v>1204</v>
      </c>
      <c r="B474" s="2" t="s">
        <v>1205</v>
      </c>
      <c r="C474" s="2" t="s">
        <v>49</v>
      </c>
      <c r="D474" s="2" t="s">
        <v>43</v>
      </c>
      <c r="E474" s="2" t="s">
        <v>20</v>
      </c>
      <c r="F474" s="2">
        <v>11</v>
      </c>
      <c r="G474" s="2">
        <v>123.25</v>
      </c>
      <c r="H474" s="2">
        <v>1355.75</v>
      </c>
      <c r="I474" s="2">
        <v>849.46</v>
      </c>
      <c r="J474" s="2">
        <v>506.29</v>
      </c>
      <c r="K474" s="3">
        <v>45961</v>
      </c>
      <c r="L474" s="3">
        <v>45965</v>
      </c>
      <c r="M474" s="2" t="s">
        <v>50</v>
      </c>
      <c r="N474" s="2">
        <v>1</v>
      </c>
      <c r="O474" s="2" t="s">
        <v>154</v>
      </c>
      <c r="P474" s="25">
        <v>9.1999999999999993</v>
      </c>
      <c r="Q474" t="str">
        <f t="shared" si="64"/>
        <v>0473</v>
      </c>
      <c r="R474" t="str">
        <f>IF('RETAIL SALES DATA.'!H474&gt;AVERAGE('RETAIL SALES DATA.'!H474:H1473),"HIGHEST VALUE","LOWEST VALUE")</f>
        <v>LOWEST VALUE</v>
      </c>
      <c r="S474" t="str">
        <f t="shared" si="65"/>
        <v>Profit</v>
      </c>
      <c r="T474" t="str">
        <f t="shared" si="66"/>
        <v>Leah Williams</v>
      </c>
      <c r="U474" t="str">
        <f t="shared" si="67"/>
        <v>Mouse</v>
      </c>
      <c r="V474">
        <f t="shared" si="68"/>
        <v>2025</v>
      </c>
      <c r="W474">
        <f t="shared" si="69"/>
        <v>11</v>
      </c>
      <c r="X474">
        <f t="shared" si="70"/>
        <v>31</v>
      </c>
      <c r="Y474" t="str">
        <f t="shared" si="71"/>
        <v>Oct</v>
      </c>
      <c r="Z474">
        <f t="shared" si="72"/>
        <v>4</v>
      </c>
    </row>
    <row r="475" spans="1:26" ht="15.75" customHeight="1" x14ac:dyDescent="0.3">
      <c r="A475" s="2" t="s">
        <v>1206</v>
      </c>
      <c r="B475" s="2" t="s">
        <v>1207</v>
      </c>
      <c r="C475" s="2" t="s">
        <v>62</v>
      </c>
      <c r="D475" s="2" t="s">
        <v>31</v>
      </c>
      <c r="E475" s="2" t="s">
        <v>32</v>
      </c>
      <c r="F475" s="2">
        <v>7</v>
      </c>
      <c r="G475" s="2">
        <v>427.77</v>
      </c>
      <c r="H475" s="2">
        <v>2994.39</v>
      </c>
      <c r="I475" s="2">
        <v>2126.02</v>
      </c>
      <c r="J475" s="2">
        <v>868.37</v>
      </c>
      <c r="K475" s="3">
        <v>45480</v>
      </c>
      <c r="L475" s="3">
        <v>45490</v>
      </c>
      <c r="M475" s="2" t="s">
        <v>21</v>
      </c>
      <c r="N475" s="2">
        <v>4</v>
      </c>
      <c r="O475" s="2" t="s">
        <v>232</v>
      </c>
      <c r="P475" s="25">
        <v>6.9</v>
      </c>
      <c r="Q475" t="str">
        <f t="shared" si="64"/>
        <v>0474</v>
      </c>
      <c r="R475" t="str">
        <f>IF('RETAIL SALES DATA.'!H475&gt;AVERAGE('RETAIL SALES DATA.'!H475:H1474),"HIGHEST VALUE","LOWEST VALUE")</f>
        <v>LOWEST VALUE</v>
      </c>
      <c r="S475" t="str">
        <f t="shared" si="65"/>
        <v>Profit</v>
      </c>
      <c r="T475" t="str">
        <f t="shared" si="66"/>
        <v>Gregory Lambert</v>
      </c>
      <c r="U475" t="str">
        <f t="shared" si="67"/>
        <v>Table</v>
      </c>
      <c r="V475">
        <f t="shared" si="68"/>
        <v>2024</v>
      </c>
      <c r="W475">
        <f t="shared" si="69"/>
        <v>7</v>
      </c>
      <c r="X475">
        <f t="shared" si="70"/>
        <v>7</v>
      </c>
      <c r="Y475" t="str">
        <f t="shared" si="71"/>
        <v>Jul</v>
      </c>
      <c r="Z475">
        <f t="shared" si="72"/>
        <v>10</v>
      </c>
    </row>
    <row r="476" spans="1:26" ht="15.75" customHeight="1" x14ac:dyDescent="0.3">
      <c r="A476" s="2" t="s">
        <v>1208</v>
      </c>
      <c r="B476" s="2" t="s">
        <v>1209</v>
      </c>
      <c r="C476" s="2" t="s">
        <v>95</v>
      </c>
      <c r="D476" s="2" t="s">
        <v>19</v>
      </c>
      <c r="E476" s="2" t="s">
        <v>44</v>
      </c>
      <c r="F476" s="2">
        <v>14</v>
      </c>
      <c r="G476" s="2">
        <v>3012.61</v>
      </c>
      <c r="H476" s="2">
        <v>42176.54</v>
      </c>
      <c r="I476" s="2">
        <v>26296.66</v>
      </c>
      <c r="J476" s="2">
        <v>15879.88</v>
      </c>
      <c r="K476" s="3">
        <v>45680</v>
      </c>
      <c r="L476" s="3">
        <v>45686</v>
      </c>
      <c r="M476" s="2" t="s">
        <v>69</v>
      </c>
      <c r="N476" s="2">
        <v>1</v>
      </c>
      <c r="O476" s="2" t="s">
        <v>254</v>
      </c>
      <c r="P476" s="25">
        <v>8.8000000000000007</v>
      </c>
      <c r="Q476" t="str">
        <f t="shared" si="64"/>
        <v>0475</v>
      </c>
      <c r="R476" t="str">
        <f>IF('RETAIL SALES DATA.'!H476&gt;AVERAGE('RETAIL SALES DATA.'!H476:H1475),"HIGHEST VALUE","LOWEST VALUE")</f>
        <v>HIGHEST VALUE</v>
      </c>
      <c r="S476" t="str">
        <f t="shared" si="65"/>
        <v>Profit</v>
      </c>
      <c r="T476" t="str">
        <f t="shared" si="66"/>
        <v>Monica Perez</v>
      </c>
      <c r="U476" t="str">
        <f t="shared" si="67"/>
        <v>Printer</v>
      </c>
      <c r="V476">
        <f t="shared" si="68"/>
        <v>2025</v>
      </c>
      <c r="W476">
        <f t="shared" si="69"/>
        <v>1</v>
      </c>
      <c r="X476">
        <f t="shared" si="70"/>
        <v>23</v>
      </c>
      <c r="Y476" t="str">
        <f t="shared" si="71"/>
        <v>Jan</v>
      </c>
      <c r="Z476">
        <f t="shared" si="72"/>
        <v>6</v>
      </c>
    </row>
    <row r="477" spans="1:26" ht="15.75" customHeight="1" x14ac:dyDescent="0.3">
      <c r="A477" s="2" t="s">
        <v>1210</v>
      </c>
      <c r="B477" s="2" t="s">
        <v>1211</v>
      </c>
      <c r="C477" s="2" t="s">
        <v>95</v>
      </c>
      <c r="D477" s="2" t="s">
        <v>19</v>
      </c>
      <c r="E477" s="2" t="s">
        <v>20</v>
      </c>
      <c r="F477" s="2">
        <v>18</v>
      </c>
      <c r="G477" s="2">
        <v>2739.21</v>
      </c>
      <c r="H477" s="2">
        <v>49305.78</v>
      </c>
      <c r="I477" s="2">
        <v>34023.61</v>
      </c>
      <c r="J477" s="2">
        <v>15282.17</v>
      </c>
      <c r="K477" s="3">
        <v>45433</v>
      </c>
      <c r="L477" s="3">
        <v>45436</v>
      </c>
      <c r="M477" s="2" t="s">
        <v>26</v>
      </c>
      <c r="N477" s="2">
        <v>3</v>
      </c>
      <c r="O477" s="2" t="s">
        <v>767</v>
      </c>
      <c r="P477" s="25">
        <v>8</v>
      </c>
      <c r="Q477" t="str">
        <f t="shared" si="64"/>
        <v>0476</v>
      </c>
      <c r="R477" t="str">
        <f>IF('RETAIL SALES DATA.'!H477&gt;AVERAGE('RETAIL SALES DATA.'!H477:H1476),"HIGHEST VALUE","LOWEST VALUE")</f>
        <v>HIGHEST VALUE</v>
      </c>
      <c r="S477" t="str">
        <f t="shared" si="65"/>
        <v>Profit</v>
      </c>
      <c r="T477" t="str">
        <f t="shared" si="66"/>
        <v>Wanda Nelson</v>
      </c>
      <c r="U477" t="str">
        <f t="shared" si="67"/>
        <v>Printer</v>
      </c>
      <c r="V477">
        <f t="shared" si="68"/>
        <v>2024</v>
      </c>
      <c r="W477">
        <f t="shared" si="69"/>
        <v>5</v>
      </c>
      <c r="X477">
        <f t="shared" si="70"/>
        <v>21</v>
      </c>
      <c r="Y477" t="str">
        <f t="shared" si="71"/>
        <v>May</v>
      </c>
      <c r="Z477">
        <f t="shared" si="72"/>
        <v>3</v>
      </c>
    </row>
    <row r="478" spans="1:26" ht="15.75" customHeight="1" x14ac:dyDescent="0.3">
      <c r="A478" s="2" t="s">
        <v>1212</v>
      </c>
      <c r="B478" s="2" t="s">
        <v>1213</v>
      </c>
      <c r="C478" s="2" t="s">
        <v>88</v>
      </c>
      <c r="D478" s="2" t="s">
        <v>31</v>
      </c>
      <c r="E478" s="2" t="s">
        <v>25</v>
      </c>
      <c r="F478" s="2">
        <v>15</v>
      </c>
      <c r="G478" s="2">
        <v>2711.92</v>
      </c>
      <c r="H478" s="2">
        <v>40678.800000000003</v>
      </c>
      <c r="I478" s="2">
        <v>26544.46</v>
      </c>
      <c r="J478" s="2">
        <v>14134.34</v>
      </c>
      <c r="K478" s="3">
        <v>45876</v>
      </c>
      <c r="L478" s="3">
        <v>45883</v>
      </c>
      <c r="M478" s="2" t="s">
        <v>58</v>
      </c>
      <c r="N478" s="2">
        <v>1</v>
      </c>
      <c r="O478" s="2" t="s">
        <v>243</v>
      </c>
      <c r="P478" s="25">
        <v>8.3000000000000007</v>
      </c>
      <c r="Q478" t="str">
        <f t="shared" si="64"/>
        <v>0477</v>
      </c>
      <c r="R478" t="str">
        <f>IF('RETAIL SALES DATA.'!H478&gt;AVERAGE('RETAIL SALES DATA.'!H478:H1477),"HIGHEST VALUE","LOWEST VALUE")</f>
        <v>HIGHEST VALUE</v>
      </c>
      <c r="S478" t="str">
        <f t="shared" si="65"/>
        <v>Profit</v>
      </c>
      <c r="T478" t="str">
        <f t="shared" si="66"/>
        <v>Michelle Evans</v>
      </c>
      <c r="U478" t="str">
        <f t="shared" si="67"/>
        <v>Cupboard</v>
      </c>
      <c r="V478">
        <f t="shared" si="68"/>
        <v>2025</v>
      </c>
      <c r="W478">
        <f t="shared" si="69"/>
        <v>8</v>
      </c>
      <c r="X478">
        <f t="shared" si="70"/>
        <v>7</v>
      </c>
      <c r="Y478" t="str">
        <f t="shared" si="71"/>
        <v>Aug</v>
      </c>
      <c r="Z478">
        <f t="shared" si="72"/>
        <v>7</v>
      </c>
    </row>
    <row r="479" spans="1:26" ht="15.75" customHeight="1" x14ac:dyDescent="0.3">
      <c r="A479" s="2" t="s">
        <v>1214</v>
      </c>
      <c r="B479" s="2" t="s">
        <v>1215</v>
      </c>
      <c r="C479" s="2" t="s">
        <v>49</v>
      </c>
      <c r="D479" s="2" t="s">
        <v>43</v>
      </c>
      <c r="E479" s="2" t="s">
        <v>44</v>
      </c>
      <c r="F479" s="2">
        <v>14</v>
      </c>
      <c r="G479" s="2">
        <v>4231.45</v>
      </c>
      <c r="H479" s="2">
        <v>59240.3</v>
      </c>
      <c r="I479" s="2">
        <v>41851.519999999997</v>
      </c>
      <c r="J479" s="2">
        <v>17388.78</v>
      </c>
      <c r="K479" s="3">
        <v>45611</v>
      </c>
      <c r="L479" s="3">
        <v>45621</v>
      </c>
      <c r="M479" s="2" t="s">
        <v>69</v>
      </c>
      <c r="N479" s="2">
        <v>3</v>
      </c>
      <c r="O479" s="2" t="s">
        <v>359</v>
      </c>
      <c r="P479" s="25">
        <v>7.4</v>
      </c>
      <c r="Q479" t="str">
        <f t="shared" si="64"/>
        <v>0478</v>
      </c>
      <c r="R479" t="str">
        <f>IF('RETAIL SALES DATA.'!H479&gt;AVERAGE('RETAIL SALES DATA.'!H479:H1478),"HIGHEST VALUE","LOWEST VALUE")</f>
        <v>HIGHEST VALUE</v>
      </c>
      <c r="S479" t="str">
        <f t="shared" si="65"/>
        <v>Profit</v>
      </c>
      <c r="T479" t="str">
        <f t="shared" si="66"/>
        <v>Beth Williams</v>
      </c>
      <c r="U479" t="str">
        <f t="shared" si="67"/>
        <v>Mouse</v>
      </c>
      <c r="V479">
        <f t="shared" si="68"/>
        <v>2024</v>
      </c>
      <c r="W479">
        <f t="shared" si="69"/>
        <v>11</v>
      </c>
      <c r="X479">
        <f t="shared" si="70"/>
        <v>15</v>
      </c>
      <c r="Y479" t="str">
        <f t="shared" si="71"/>
        <v>Nov</v>
      </c>
      <c r="Z479">
        <f t="shared" si="72"/>
        <v>10</v>
      </c>
    </row>
    <row r="480" spans="1:26" ht="15.75" customHeight="1" x14ac:dyDescent="0.3">
      <c r="A480" s="2" t="s">
        <v>1216</v>
      </c>
      <c r="B480" s="2" t="s">
        <v>1217</v>
      </c>
      <c r="C480" s="2" t="s">
        <v>88</v>
      </c>
      <c r="D480" s="2" t="s">
        <v>31</v>
      </c>
      <c r="E480" s="2" t="s">
        <v>44</v>
      </c>
      <c r="F480" s="2">
        <v>6</v>
      </c>
      <c r="G480" s="2">
        <v>1361.97</v>
      </c>
      <c r="H480" s="2">
        <v>8171.82</v>
      </c>
      <c r="I480" s="2">
        <v>6610.85</v>
      </c>
      <c r="J480" s="2">
        <v>1560.97</v>
      </c>
      <c r="K480" s="3">
        <v>46000</v>
      </c>
      <c r="L480" s="3">
        <v>46008</v>
      </c>
      <c r="M480" s="2" t="s">
        <v>45</v>
      </c>
      <c r="N480" s="2">
        <v>2</v>
      </c>
      <c r="O480" s="2" t="s">
        <v>1218</v>
      </c>
      <c r="P480" s="25">
        <v>8.8000000000000007</v>
      </c>
      <c r="Q480" t="str">
        <f t="shared" si="64"/>
        <v>0479</v>
      </c>
      <c r="R480" t="str">
        <f>IF('RETAIL SALES DATA.'!H480&gt;AVERAGE('RETAIL SALES DATA.'!H480:H1479),"HIGHEST VALUE","LOWEST VALUE")</f>
        <v>LOWEST VALUE</v>
      </c>
      <c r="S480" t="str">
        <f t="shared" si="65"/>
        <v>Profit</v>
      </c>
      <c r="T480" t="str">
        <f t="shared" si="66"/>
        <v>Michael Lee</v>
      </c>
      <c r="U480" t="str">
        <f t="shared" si="67"/>
        <v>Cupboard</v>
      </c>
      <c r="V480">
        <f t="shared" si="68"/>
        <v>2025</v>
      </c>
      <c r="W480">
        <f t="shared" si="69"/>
        <v>12</v>
      </c>
      <c r="X480">
        <f t="shared" si="70"/>
        <v>9</v>
      </c>
      <c r="Y480" t="str">
        <f t="shared" si="71"/>
        <v>Dec</v>
      </c>
      <c r="Z480">
        <f t="shared" si="72"/>
        <v>8</v>
      </c>
    </row>
    <row r="481" spans="1:26" ht="15.75" customHeight="1" x14ac:dyDescent="0.3">
      <c r="A481" s="2" t="s">
        <v>1219</v>
      </c>
      <c r="B481" s="2" t="s">
        <v>1220</v>
      </c>
      <c r="C481" s="2" t="s">
        <v>139</v>
      </c>
      <c r="D481" s="2" t="s">
        <v>31</v>
      </c>
      <c r="E481" s="2" t="s">
        <v>32</v>
      </c>
      <c r="F481" s="2">
        <v>17</v>
      </c>
      <c r="G481" s="2">
        <v>3565.78</v>
      </c>
      <c r="H481" s="2">
        <v>60618.26</v>
      </c>
      <c r="I481" s="2">
        <v>34953.71</v>
      </c>
      <c r="J481" s="2">
        <v>25664.55</v>
      </c>
      <c r="K481" s="3">
        <v>45624</v>
      </c>
      <c r="L481" s="3">
        <v>45630</v>
      </c>
      <c r="M481" s="2" t="s">
        <v>123</v>
      </c>
      <c r="N481" s="2">
        <v>3</v>
      </c>
      <c r="O481" s="2" t="s">
        <v>202</v>
      </c>
      <c r="P481" s="25">
        <v>8.3000000000000007</v>
      </c>
      <c r="Q481" t="str">
        <f t="shared" si="64"/>
        <v>0480</v>
      </c>
      <c r="R481" t="str">
        <f>IF('RETAIL SALES DATA.'!H481&gt;AVERAGE('RETAIL SALES DATA.'!H481:H1480),"HIGHEST VALUE","LOWEST VALUE")</f>
        <v>HIGHEST VALUE</v>
      </c>
      <c r="S481" t="str">
        <f t="shared" si="65"/>
        <v>Profit</v>
      </c>
      <c r="T481" t="str">
        <f t="shared" si="66"/>
        <v>Nicole Bell</v>
      </c>
      <c r="U481" t="str">
        <f t="shared" si="67"/>
        <v>Sofa</v>
      </c>
      <c r="V481">
        <f t="shared" si="68"/>
        <v>2024</v>
      </c>
      <c r="W481">
        <f t="shared" si="69"/>
        <v>12</v>
      </c>
      <c r="X481">
        <f t="shared" si="70"/>
        <v>28</v>
      </c>
      <c r="Y481" t="str">
        <f t="shared" si="71"/>
        <v>Nov</v>
      </c>
      <c r="Z481">
        <f t="shared" si="72"/>
        <v>6</v>
      </c>
    </row>
    <row r="482" spans="1:26" ht="15.75" customHeight="1" x14ac:dyDescent="0.3">
      <c r="A482" s="2" t="s">
        <v>1221</v>
      </c>
      <c r="B482" s="2" t="s">
        <v>1222</v>
      </c>
      <c r="C482" s="2" t="s">
        <v>49</v>
      </c>
      <c r="D482" s="2" t="s">
        <v>43</v>
      </c>
      <c r="E482" s="2" t="s">
        <v>32</v>
      </c>
      <c r="F482" s="2">
        <v>20</v>
      </c>
      <c r="G482" s="2">
        <v>535.27</v>
      </c>
      <c r="H482" s="2">
        <v>10705.4</v>
      </c>
      <c r="I482" s="2">
        <v>8368.06</v>
      </c>
      <c r="J482" s="2">
        <v>2337.34</v>
      </c>
      <c r="K482" s="3">
        <v>45808</v>
      </c>
      <c r="L482" s="3">
        <v>45812</v>
      </c>
      <c r="M482" s="2" t="s">
        <v>69</v>
      </c>
      <c r="N482" s="2">
        <v>3</v>
      </c>
      <c r="O482" s="2" t="s">
        <v>162</v>
      </c>
      <c r="P482" s="25">
        <v>8.1999999999999993</v>
      </c>
      <c r="Q482" t="str">
        <f t="shared" si="64"/>
        <v>0481</v>
      </c>
      <c r="R482" t="str">
        <f>IF('RETAIL SALES DATA.'!H482&gt;AVERAGE('RETAIL SALES DATA.'!H482:H1481),"HIGHEST VALUE","LOWEST VALUE")</f>
        <v>LOWEST VALUE</v>
      </c>
      <c r="S482" t="str">
        <f t="shared" si="65"/>
        <v>Profit</v>
      </c>
      <c r="T482" t="str">
        <f t="shared" si="66"/>
        <v>Victor Stephens</v>
      </c>
      <c r="U482" t="str">
        <f t="shared" si="67"/>
        <v>Mouse</v>
      </c>
      <c r="V482">
        <f t="shared" si="68"/>
        <v>2025</v>
      </c>
      <c r="W482">
        <f t="shared" si="69"/>
        <v>6</v>
      </c>
      <c r="X482">
        <f t="shared" si="70"/>
        <v>31</v>
      </c>
      <c r="Y482" t="str">
        <f t="shared" si="71"/>
        <v>May</v>
      </c>
      <c r="Z482">
        <f t="shared" si="72"/>
        <v>4</v>
      </c>
    </row>
    <row r="483" spans="1:26" ht="15.75" customHeight="1" x14ac:dyDescent="0.3">
      <c r="A483" s="2" t="s">
        <v>1223</v>
      </c>
      <c r="B483" s="2" t="s">
        <v>1224</v>
      </c>
      <c r="C483" s="2" t="s">
        <v>42</v>
      </c>
      <c r="D483" s="2" t="s">
        <v>43</v>
      </c>
      <c r="E483" s="2" t="s">
        <v>25</v>
      </c>
      <c r="F483" s="2">
        <v>2</v>
      </c>
      <c r="G483" s="2">
        <v>2980.43</v>
      </c>
      <c r="H483" s="2">
        <v>5960.86</v>
      </c>
      <c r="I483" s="2">
        <v>4746.8900000000003</v>
      </c>
      <c r="J483" s="2">
        <v>1213.97</v>
      </c>
      <c r="K483" s="3">
        <v>45765</v>
      </c>
      <c r="L483" s="3">
        <v>45766</v>
      </c>
      <c r="M483" s="2" t="s">
        <v>69</v>
      </c>
      <c r="N483" s="2">
        <v>3</v>
      </c>
      <c r="O483" s="2" t="s">
        <v>496</v>
      </c>
      <c r="P483" s="25">
        <v>9.1</v>
      </c>
      <c r="Q483" t="str">
        <f t="shared" si="64"/>
        <v>0482</v>
      </c>
      <c r="R483" t="str">
        <f>IF('RETAIL SALES DATA.'!H483&gt;AVERAGE('RETAIL SALES DATA.'!H483:H1482),"HIGHEST VALUE","LOWEST VALUE")</f>
        <v>LOWEST VALUE</v>
      </c>
      <c r="S483" t="str">
        <f t="shared" si="65"/>
        <v>Profit</v>
      </c>
      <c r="T483" t="str">
        <f t="shared" si="66"/>
        <v>John Martinez</v>
      </c>
      <c r="U483" t="str">
        <f t="shared" si="67"/>
        <v>Laptop</v>
      </c>
      <c r="V483">
        <f t="shared" si="68"/>
        <v>2025</v>
      </c>
      <c r="W483">
        <f t="shared" si="69"/>
        <v>4</v>
      </c>
      <c r="X483">
        <f t="shared" si="70"/>
        <v>18</v>
      </c>
      <c r="Y483" t="str">
        <f t="shared" si="71"/>
        <v>Apr</v>
      </c>
      <c r="Z483">
        <f t="shared" si="72"/>
        <v>1</v>
      </c>
    </row>
    <row r="484" spans="1:26" ht="15.75" customHeight="1" x14ac:dyDescent="0.3">
      <c r="A484" s="2" t="s">
        <v>1225</v>
      </c>
      <c r="B484" s="2" t="s">
        <v>1226</v>
      </c>
      <c r="C484" s="2" t="s">
        <v>30</v>
      </c>
      <c r="D484" s="2" t="s">
        <v>31</v>
      </c>
      <c r="E484" s="2" t="s">
        <v>32</v>
      </c>
      <c r="F484" s="2">
        <v>9</v>
      </c>
      <c r="G484" s="2">
        <v>2625.01</v>
      </c>
      <c r="H484" s="2">
        <v>23625.09</v>
      </c>
      <c r="I484" s="2">
        <v>16038.2</v>
      </c>
      <c r="J484" s="2">
        <v>7586.89</v>
      </c>
      <c r="K484" s="3">
        <v>45930</v>
      </c>
      <c r="L484" s="3">
        <v>45935</v>
      </c>
      <c r="M484" s="2" t="s">
        <v>33</v>
      </c>
      <c r="N484" s="2">
        <v>4</v>
      </c>
      <c r="O484" s="2" t="s">
        <v>715</v>
      </c>
      <c r="P484" s="25">
        <v>8.8000000000000007</v>
      </c>
      <c r="Q484" t="str">
        <f t="shared" si="64"/>
        <v>0483</v>
      </c>
      <c r="R484" t="str">
        <f>IF('RETAIL SALES DATA.'!H484&gt;AVERAGE('RETAIL SALES DATA.'!H484:H1483),"HIGHEST VALUE","LOWEST VALUE")</f>
        <v>LOWEST VALUE</v>
      </c>
      <c r="S484" t="str">
        <f t="shared" si="65"/>
        <v>Profit</v>
      </c>
      <c r="T484" t="str">
        <f t="shared" si="66"/>
        <v>Ryan Patterson</v>
      </c>
      <c r="U484" t="str">
        <f t="shared" si="67"/>
        <v>Desk</v>
      </c>
      <c r="V484">
        <f t="shared" si="68"/>
        <v>2025</v>
      </c>
      <c r="W484">
        <f t="shared" si="69"/>
        <v>10</v>
      </c>
      <c r="X484">
        <f t="shared" si="70"/>
        <v>30</v>
      </c>
      <c r="Y484" t="str">
        <f t="shared" si="71"/>
        <v>Sep</v>
      </c>
      <c r="Z484">
        <f t="shared" si="72"/>
        <v>5</v>
      </c>
    </row>
    <row r="485" spans="1:26" ht="15.75" customHeight="1" x14ac:dyDescent="0.3">
      <c r="A485" s="2" t="s">
        <v>1227</v>
      </c>
      <c r="B485" s="2" t="s">
        <v>1228</v>
      </c>
      <c r="C485" s="2" t="s">
        <v>88</v>
      </c>
      <c r="D485" s="2" t="s">
        <v>31</v>
      </c>
      <c r="E485" s="2" t="s">
        <v>44</v>
      </c>
      <c r="F485" s="2">
        <v>16</v>
      </c>
      <c r="G485" s="2">
        <v>1241.06</v>
      </c>
      <c r="H485" s="2">
        <v>19856.96</v>
      </c>
      <c r="I485" s="2">
        <v>10727.4</v>
      </c>
      <c r="J485" s="2">
        <v>9129.56</v>
      </c>
      <c r="K485" s="3">
        <v>45738</v>
      </c>
      <c r="L485" s="3">
        <v>45740</v>
      </c>
      <c r="M485" s="2" t="s">
        <v>38</v>
      </c>
      <c r="N485" s="2">
        <v>5</v>
      </c>
      <c r="O485" s="2" t="s">
        <v>92</v>
      </c>
      <c r="P485" s="25">
        <v>7.8</v>
      </c>
      <c r="Q485" t="str">
        <f t="shared" si="64"/>
        <v>0484</v>
      </c>
      <c r="R485" t="str">
        <f>IF('RETAIL SALES DATA.'!H485&gt;AVERAGE('RETAIL SALES DATA.'!H485:H1484),"HIGHEST VALUE","LOWEST VALUE")</f>
        <v>LOWEST VALUE</v>
      </c>
      <c r="S485" t="str">
        <f t="shared" si="65"/>
        <v>Profit</v>
      </c>
      <c r="T485" t="str">
        <f t="shared" si="66"/>
        <v>Andre Bell</v>
      </c>
      <c r="U485" t="str">
        <f t="shared" si="67"/>
        <v>Cupboard</v>
      </c>
      <c r="V485">
        <f t="shared" si="68"/>
        <v>2025</v>
      </c>
      <c r="W485">
        <f t="shared" si="69"/>
        <v>3</v>
      </c>
      <c r="X485">
        <f t="shared" si="70"/>
        <v>22</v>
      </c>
      <c r="Y485" t="str">
        <f t="shared" si="71"/>
        <v>Mar</v>
      </c>
      <c r="Z485">
        <f t="shared" si="72"/>
        <v>2</v>
      </c>
    </row>
    <row r="486" spans="1:26" ht="15.75" customHeight="1" x14ac:dyDescent="0.3">
      <c r="A486" s="2" t="s">
        <v>1229</v>
      </c>
      <c r="B486" s="2" t="s">
        <v>1230</v>
      </c>
      <c r="C486" s="2" t="s">
        <v>42</v>
      </c>
      <c r="D486" s="2" t="s">
        <v>43</v>
      </c>
      <c r="E486" s="2" t="s">
        <v>32</v>
      </c>
      <c r="F486" s="2">
        <v>17</v>
      </c>
      <c r="G486" s="2">
        <v>1344.55</v>
      </c>
      <c r="H486" s="2">
        <v>22857.35</v>
      </c>
      <c r="I486" s="2">
        <v>20264.689999999999</v>
      </c>
      <c r="J486" s="2">
        <v>2592.66</v>
      </c>
      <c r="K486" s="3">
        <v>45588</v>
      </c>
      <c r="L486" s="3">
        <v>45591</v>
      </c>
      <c r="M486" s="2" t="s">
        <v>50</v>
      </c>
      <c r="N486" s="2">
        <v>3</v>
      </c>
      <c r="O486" s="2" t="s">
        <v>436</v>
      </c>
      <c r="P486" s="25">
        <v>6.5</v>
      </c>
      <c r="Q486" t="str">
        <f t="shared" si="64"/>
        <v>0485</v>
      </c>
      <c r="R486" t="str">
        <f>IF('RETAIL SALES DATA.'!H486&gt;AVERAGE('RETAIL SALES DATA.'!H486:H1485),"HIGHEST VALUE","LOWEST VALUE")</f>
        <v>LOWEST VALUE</v>
      </c>
      <c r="S486" t="str">
        <f t="shared" si="65"/>
        <v>Profit</v>
      </c>
      <c r="T486" t="str">
        <f t="shared" si="66"/>
        <v>Jacob Cruz</v>
      </c>
      <c r="U486" t="str">
        <f t="shared" si="67"/>
        <v>Laptop</v>
      </c>
      <c r="V486">
        <f t="shared" si="68"/>
        <v>2024</v>
      </c>
      <c r="W486">
        <f t="shared" si="69"/>
        <v>10</v>
      </c>
      <c r="X486">
        <f t="shared" si="70"/>
        <v>23</v>
      </c>
      <c r="Y486" t="str">
        <f t="shared" si="71"/>
        <v>Oct</v>
      </c>
      <c r="Z486">
        <f t="shared" si="72"/>
        <v>3</v>
      </c>
    </row>
    <row r="487" spans="1:26" ht="15.75" customHeight="1" x14ac:dyDescent="0.3">
      <c r="A487" s="2" t="s">
        <v>1231</v>
      </c>
      <c r="B487" s="2" t="s">
        <v>1232</v>
      </c>
      <c r="C487" s="2" t="s">
        <v>88</v>
      </c>
      <c r="D487" s="2" t="s">
        <v>31</v>
      </c>
      <c r="E487" s="2" t="s">
        <v>32</v>
      </c>
      <c r="F487" s="2">
        <v>14</v>
      </c>
      <c r="G487" s="2">
        <v>1195.8499999999999</v>
      </c>
      <c r="H487" s="2">
        <v>16741.900000000001</v>
      </c>
      <c r="I487" s="2">
        <v>12890.12</v>
      </c>
      <c r="J487" s="2">
        <v>3851.78</v>
      </c>
      <c r="K487" s="3">
        <v>45972</v>
      </c>
      <c r="L487" s="3">
        <v>45980</v>
      </c>
      <c r="M487" s="2" t="s">
        <v>181</v>
      </c>
      <c r="N487" s="2">
        <v>4</v>
      </c>
      <c r="O487" s="2" t="s">
        <v>604</v>
      </c>
      <c r="P487" s="25">
        <v>8.8000000000000007</v>
      </c>
      <c r="Q487" t="str">
        <f t="shared" si="64"/>
        <v>0486</v>
      </c>
      <c r="R487" t="str">
        <f>IF('RETAIL SALES DATA.'!H487&gt;AVERAGE('RETAIL SALES DATA.'!H487:H1486),"HIGHEST VALUE","LOWEST VALUE")</f>
        <v>LOWEST VALUE</v>
      </c>
      <c r="S487" t="str">
        <f t="shared" si="65"/>
        <v>Profit</v>
      </c>
      <c r="T487" t="str">
        <f t="shared" si="66"/>
        <v>Kelly Blanchard</v>
      </c>
      <c r="U487" t="str">
        <f t="shared" si="67"/>
        <v>Cupboard</v>
      </c>
      <c r="V487">
        <f t="shared" si="68"/>
        <v>2025</v>
      </c>
      <c r="W487">
        <f t="shared" si="69"/>
        <v>11</v>
      </c>
      <c r="X487">
        <f t="shared" si="70"/>
        <v>11</v>
      </c>
      <c r="Y487" t="str">
        <f t="shared" si="71"/>
        <v>Nov</v>
      </c>
      <c r="Z487">
        <f t="shared" si="72"/>
        <v>8</v>
      </c>
    </row>
    <row r="488" spans="1:26" ht="15.75" customHeight="1" x14ac:dyDescent="0.3">
      <c r="A488" s="2" t="s">
        <v>1233</v>
      </c>
      <c r="B488" s="2" t="s">
        <v>1234</v>
      </c>
      <c r="C488" s="2" t="s">
        <v>30</v>
      </c>
      <c r="D488" s="2" t="s">
        <v>31</v>
      </c>
      <c r="E488" s="2" t="s">
        <v>25</v>
      </c>
      <c r="F488" s="2">
        <v>6</v>
      </c>
      <c r="G488" s="2">
        <v>2055.27</v>
      </c>
      <c r="H488" s="2">
        <v>12331.62</v>
      </c>
      <c r="I488" s="2">
        <v>9750.51</v>
      </c>
      <c r="J488" s="2">
        <v>2581.11</v>
      </c>
      <c r="K488" s="3">
        <v>45498</v>
      </c>
      <c r="L488" s="3">
        <v>45506</v>
      </c>
      <c r="M488" s="2" t="s">
        <v>45</v>
      </c>
      <c r="N488" s="2">
        <v>5</v>
      </c>
      <c r="O488" s="2" t="s">
        <v>66</v>
      </c>
      <c r="P488" s="25">
        <v>7.4</v>
      </c>
      <c r="Q488" t="str">
        <f t="shared" si="64"/>
        <v>0487</v>
      </c>
      <c r="R488" t="str">
        <f>IF('RETAIL SALES DATA.'!H488&gt;AVERAGE('RETAIL SALES DATA.'!H488:H1487),"HIGHEST VALUE","LOWEST VALUE")</f>
        <v>LOWEST VALUE</v>
      </c>
      <c r="S488" t="str">
        <f t="shared" si="65"/>
        <v>Profit</v>
      </c>
      <c r="T488" t="str">
        <f t="shared" si="66"/>
        <v>Thomas Howell</v>
      </c>
      <c r="U488" t="str">
        <f t="shared" si="67"/>
        <v>Desk</v>
      </c>
      <c r="V488">
        <f t="shared" si="68"/>
        <v>2024</v>
      </c>
      <c r="W488">
        <f t="shared" si="69"/>
        <v>8</v>
      </c>
      <c r="X488">
        <f t="shared" si="70"/>
        <v>25</v>
      </c>
      <c r="Y488" t="str">
        <f t="shared" si="71"/>
        <v>Jul</v>
      </c>
      <c r="Z488">
        <f t="shared" si="72"/>
        <v>8</v>
      </c>
    </row>
    <row r="489" spans="1:26" ht="15.75" customHeight="1" x14ac:dyDescent="0.3">
      <c r="A489" s="2" t="s">
        <v>1235</v>
      </c>
      <c r="B489" s="2" t="s">
        <v>1236</v>
      </c>
      <c r="C489" s="2" t="s">
        <v>168</v>
      </c>
      <c r="D489" s="2" t="s">
        <v>43</v>
      </c>
      <c r="E489" s="2" t="s">
        <v>25</v>
      </c>
      <c r="F489" s="2">
        <v>10</v>
      </c>
      <c r="G489" s="2">
        <v>207.18</v>
      </c>
      <c r="H489" s="2">
        <v>2071.8000000000002</v>
      </c>
      <c r="I489" s="2">
        <v>1207.8599999999999</v>
      </c>
      <c r="J489" s="2">
        <v>863.94</v>
      </c>
      <c r="K489" s="3">
        <v>45762</v>
      </c>
      <c r="L489" s="3">
        <v>45771</v>
      </c>
      <c r="M489" s="2" t="s">
        <v>33</v>
      </c>
      <c r="N489" s="2">
        <v>4</v>
      </c>
      <c r="O489" s="2" t="s">
        <v>828</v>
      </c>
      <c r="P489" s="25">
        <v>7.2</v>
      </c>
      <c r="Q489" t="str">
        <f t="shared" si="64"/>
        <v>0488</v>
      </c>
      <c r="R489" t="str">
        <f>IF('RETAIL SALES DATA.'!H489&gt;AVERAGE('RETAIL SALES DATA.'!H489:H1488),"HIGHEST VALUE","LOWEST VALUE")</f>
        <v>LOWEST VALUE</v>
      </c>
      <c r="S489" t="str">
        <f t="shared" si="65"/>
        <v>Profit</v>
      </c>
      <c r="T489" t="str">
        <f t="shared" si="66"/>
        <v>Marvin Kaufman</v>
      </c>
      <c r="U489" t="str">
        <f t="shared" si="67"/>
        <v>Keyboard</v>
      </c>
      <c r="V489">
        <f t="shared" si="68"/>
        <v>2025</v>
      </c>
      <c r="W489">
        <f t="shared" si="69"/>
        <v>4</v>
      </c>
      <c r="X489">
        <f t="shared" si="70"/>
        <v>15</v>
      </c>
      <c r="Y489" t="str">
        <f t="shared" si="71"/>
        <v>Apr</v>
      </c>
      <c r="Z489">
        <f t="shared" si="72"/>
        <v>9</v>
      </c>
    </row>
    <row r="490" spans="1:26" ht="15.75" customHeight="1" x14ac:dyDescent="0.3">
      <c r="A490" s="2" t="s">
        <v>1237</v>
      </c>
      <c r="B490" s="2" t="s">
        <v>1238</v>
      </c>
      <c r="C490" s="2" t="s">
        <v>95</v>
      </c>
      <c r="D490" s="2" t="s">
        <v>19</v>
      </c>
      <c r="E490" s="2" t="s">
        <v>32</v>
      </c>
      <c r="F490" s="2">
        <v>13</v>
      </c>
      <c r="G490" s="2">
        <v>1775.11</v>
      </c>
      <c r="H490" s="2">
        <v>23076.43</v>
      </c>
      <c r="I490" s="2">
        <v>13899.53</v>
      </c>
      <c r="J490" s="2">
        <v>9176.9</v>
      </c>
      <c r="K490" s="3">
        <v>46121</v>
      </c>
      <c r="L490" s="3">
        <v>46130</v>
      </c>
      <c r="M490" s="2" t="s">
        <v>38</v>
      </c>
      <c r="N490" s="2">
        <v>5</v>
      </c>
      <c r="O490" s="2" t="s">
        <v>1239</v>
      </c>
      <c r="P490" s="25">
        <v>8.9</v>
      </c>
      <c r="Q490" t="str">
        <f t="shared" si="64"/>
        <v>0489</v>
      </c>
      <c r="R490" t="str">
        <f>IF('RETAIL SALES DATA.'!H490&gt;AVERAGE('RETAIL SALES DATA.'!H490:H1489),"HIGHEST VALUE","LOWEST VALUE")</f>
        <v>LOWEST VALUE</v>
      </c>
      <c r="S490" t="str">
        <f t="shared" si="65"/>
        <v>Profit</v>
      </c>
      <c r="T490" t="str">
        <f t="shared" si="66"/>
        <v>James Caldwell</v>
      </c>
      <c r="U490" t="str">
        <f t="shared" si="67"/>
        <v>Printer</v>
      </c>
      <c r="V490">
        <f t="shared" si="68"/>
        <v>2026</v>
      </c>
      <c r="W490">
        <f t="shared" si="69"/>
        <v>4</v>
      </c>
      <c r="X490">
        <f t="shared" si="70"/>
        <v>9</v>
      </c>
      <c r="Y490" t="str">
        <f t="shared" si="71"/>
        <v>Apr</v>
      </c>
      <c r="Z490">
        <f t="shared" si="72"/>
        <v>9</v>
      </c>
    </row>
    <row r="491" spans="1:26" ht="15.75" customHeight="1" x14ac:dyDescent="0.3">
      <c r="A491" s="2" t="s">
        <v>1240</v>
      </c>
      <c r="B491" s="2" t="s">
        <v>1241</v>
      </c>
      <c r="C491" s="2" t="s">
        <v>95</v>
      </c>
      <c r="D491" s="2" t="s">
        <v>19</v>
      </c>
      <c r="E491" s="2" t="s">
        <v>32</v>
      </c>
      <c r="F491" s="2">
        <v>10</v>
      </c>
      <c r="G491" s="2">
        <v>1704.68</v>
      </c>
      <c r="H491" s="2">
        <v>17046.8</v>
      </c>
      <c r="I491" s="2">
        <v>9649.44</v>
      </c>
      <c r="J491" s="2">
        <v>7397.36</v>
      </c>
      <c r="K491" s="3">
        <v>45782</v>
      </c>
      <c r="L491" s="3">
        <v>45785</v>
      </c>
      <c r="M491" s="2" t="s">
        <v>21</v>
      </c>
      <c r="N491" s="2">
        <v>4</v>
      </c>
      <c r="O491" s="2" t="s">
        <v>1242</v>
      </c>
      <c r="P491" s="25">
        <v>9.6</v>
      </c>
      <c r="Q491" t="str">
        <f t="shared" si="64"/>
        <v>0490</v>
      </c>
      <c r="R491" t="str">
        <f>IF('RETAIL SALES DATA.'!H491&gt;AVERAGE('RETAIL SALES DATA.'!H491:H1490),"HIGHEST VALUE","LOWEST VALUE")</f>
        <v>LOWEST VALUE</v>
      </c>
      <c r="S491" t="str">
        <f t="shared" si="65"/>
        <v>Profit</v>
      </c>
      <c r="T491" t="str">
        <f t="shared" si="66"/>
        <v>Rodney Gibson</v>
      </c>
      <c r="U491" t="str">
        <f t="shared" si="67"/>
        <v>Printer</v>
      </c>
      <c r="V491">
        <f t="shared" si="68"/>
        <v>2025</v>
      </c>
      <c r="W491">
        <f t="shared" si="69"/>
        <v>5</v>
      </c>
      <c r="X491">
        <f t="shared" si="70"/>
        <v>5</v>
      </c>
      <c r="Y491" t="str">
        <f t="shared" si="71"/>
        <v>May</v>
      </c>
      <c r="Z491">
        <f t="shared" si="72"/>
        <v>3</v>
      </c>
    </row>
    <row r="492" spans="1:26" ht="15.75" customHeight="1" x14ac:dyDescent="0.3">
      <c r="A492" s="2" t="s">
        <v>1243</v>
      </c>
      <c r="B492" s="2" t="s">
        <v>1244</v>
      </c>
      <c r="C492" s="2" t="s">
        <v>95</v>
      </c>
      <c r="D492" s="2" t="s">
        <v>19</v>
      </c>
      <c r="E492" s="2" t="s">
        <v>44</v>
      </c>
      <c r="F492" s="2">
        <v>6</v>
      </c>
      <c r="G492" s="2">
        <v>3318.29</v>
      </c>
      <c r="H492" s="2">
        <v>19909.740000000002</v>
      </c>
      <c r="I492" s="2">
        <v>11074.09</v>
      </c>
      <c r="J492" s="2">
        <v>8835.65</v>
      </c>
      <c r="K492" s="3">
        <v>45724</v>
      </c>
      <c r="L492" s="3">
        <v>45734</v>
      </c>
      <c r="M492" s="2" t="s">
        <v>50</v>
      </c>
      <c r="N492" s="2">
        <v>4</v>
      </c>
      <c r="O492" s="2" t="s">
        <v>294</v>
      </c>
      <c r="P492" s="25">
        <v>7.8</v>
      </c>
      <c r="Q492" t="str">
        <f t="shared" si="64"/>
        <v>0491</v>
      </c>
      <c r="R492" t="str">
        <f>IF('RETAIL SALES DATA.'!H492&gt;AVERAGE('RETAIL SALES DATA.'!H492:H1491),"HIGHEST VALUE","LOWEST VALUE")</f>
        <v>LOWEST VALUE</v>
      </c>
      <c r="S492" t="str">
        <f t="shared" si="65"/>
        <v>Profit</v>
      </c>
      <c r="T492" t="str">
        <f t="shared" si="66"/>
        <v>Austin Cole</v>
      </c>
      <c r="U492" t="str">
        <f t="shared" si="67"/>
        <v>Printer</v>
      </c>
      <c r="V492">
        <f t="shared" si="68"/>
        <v>2025</v>
      </c>
      <c r="W492">
        <f t="shared" si="69"/>
        <v>3</v>
      </c>
      <c r="X492">
        <f t="shared" si="70"/>
        <v>8</v>
      </c>
      <c r="Y492" t="str">
        <f t="shared" si="71"/>
        <v>Mar</v>
      </c>
      <c r="Z492">
        <f t="shared" si="72"/>
        <v>10</v>
      </c>
    </row>
    <row r="493" spans="1:26" ht="15.75" customHeight="1" x14ac:dyDescent="0.3">
      <c r="A493" s="2" t="s">
        <v>1245</v>
      </c>
      <c r="B493" s="2" t="s">
        <v>1246</v>
      </c>
      <c r="C493" s="2" t="s">
        <v>144</v>
      </c>
      <c r="D493" s="2" t="s">
        <v>19</v>
      </c>
      <c r="E493" s="2" t="s">
        <v>25</v>
      </c>
      <c r="F493" s="2">
        <v>7</v>
      </c>
      <c r="G493" s="2">
        <v>4114.63</v>
      </c>
      <c r="H493" s="2">
        <v>28802.41</v>
      </c>
      <c r="I493" s="2">
        <v>16654.259999999998</v>
      </c>
      <c r="J493" s="2">
        <v>12148.15</v>
      </c>
      <c r="K493" s="3">
        <v>45910</v>
      </c>
      <c r="L493" s="3">
        <v>45918</v>
      </c>
      <c r="M493" s="2" t="s">
        <v>38</v>
      </c>
      <c r="N493" s="2">
        <v>3</v>
      </c>
      <c r="O493" s="2" t="s">
        <v>1035</v>
      </c>
      <c r="P493" s="25">
        <v>8.1999999999999993</v>
      </c>
      <c r="Q493" t="str">
        <f t="shared" si="64"/>
        <v>0492</v>
      </c>
      <c r="R493" t="str">
        <f>IF('RETAIL SALES DATA.'!H493&gt;AVERAGE('RETAIL SALES DATA.'!H493:H1492),"HIGHEST VALUE","LOWEST VALUE")</f>
        <v>HIGHEST VALUE</v>
      </c>
      <c r="S493" t="str">
        <f t="shared" si="65"/>
        <v>Profit</v>
      </c>
      <c r="T493" t="str">
        <f t="shared" si="66"/>
        <v>Lance Franco</v>
      </c>
      <c r="U493" t="str">
        <f t="shared" si="67"/>
        <v>File</v>
      </c>
      <c r="V493">
        <f t="shared" si="68"/>
        <v>2025</v>
      </c>
      <c r="W493">
        <f t="shared" si="69"/>
        <v>9</v>
      </c>
      <c r="X493">
        <f t="shared" si="70"/>
        <v>10</v>
      </c>
      <c r="Y493" t="str">
        <f t="shared" si="71"/>
        <v>Sep</v>
      </c>
      <c r="Z493">
        <f t="shared" si="72"/>
        <v>8</v>
      </c>
    </row>
    <row r="494" spans="1:26" ht="15.75" customHeight="1" x14ac:dyDescent="0.3">
      <c r="A494" s="2" t="s">
        <v>1247</v>
      </c>
      <c r="B494" s="2" t="s">
        <v>1248</v>
      </c>
      <c r="C494" s="2" t="s">
        <v>37</v>
      </c>
      <c r="D494" s="2" t="s">
        <v>19</v>
      </c>
      <c r="E494" s="2" t="s">
        <v>20</v>
      </c>
      <c r="F494" s="2">
        <v>3</v>
      </c>
      <c r="G494" s="2">
        <v>651.28</v>
      </c>
      <c r="H494" s="2">
        <v>1953.84</v>
      </c>
      <c r="I494" s="2">
        <v>1270.82</v>
      </c>
      <c r="J494" s="2">
        <v>683.02</v>
      </c>
      <c r="K494" s="3">
        <v>45871</v>
      </c>
      <c r="L494" s="3">
        <v>45881</v>
      </c>
      <c r="M494" s="2" t="s">
        <v>58</v>
      </c>
      <c r="N494" s="2">
        <v>4</v>
      </c>
      <c r="O494" s="2" t="s">
        <v>362</v>
      </c>
      <c r="P494" s="25">
        <v>6.7</v>
      </c>
      <c r="Q494" t="str">
        <f t="shared" si="64"/>
        <v>0493</v>
      </c>
      <c r="R494" t="str">
        <f>IF('RETAIL SALES DATA.'!H494&gt;AVERAGE('RETAIL SALES DATA.'!H494:H1493),"HIGHEST VALUE","LOWEST VALUE")</f>
        <v>LOWEST VALUE</v>
      </c>
      <c r="S494" t="str">
        <f t="shared" si="65"/>
        <v>Profit</v>
      </c>
      <c r="T494" t="str">
        <f t="shared" si="66"/>
        <v>Christopher Joyce</v>
      </c>
      <c r="U494" t="str">
        <f t="shared" si="67"/>
        <v>Marker</v>
      </c>
      <c r="V494">
        <f t="shared" si="68"/>
        <v>2025</v>
      </c>
      <c r="W494">
        <f t="shared" si="69"/>
        <v>8</v>
      </c>
      <c r="X494">
        <f t="shared" si="70"/>
        <v>2</v>
      </c>
      <c r="Y494" t="str">
        <f t="shared" si="71"/>
        <v>Aug</v>
      </c>
      <c r="Z494">
        <f t="shared" si="72"/>
        <v>10</v>
      </c>
    </row>
    <row r="495" spans="1:26" ht="15.75" customHeight="1" x14ac:dyDescent="0.3">
      <c r="A495" s="2" t="s">
        <v>1249</v>
      </c>
      <c r="B495" s="2" t="s">
        <v>1250</v>
      </c>
      <c r="C495" s="2" t="s">
        <v>144</v>
      </c>
      <c r="D495" s="2" t="s">
        <v>19</v>
      </c>
      <c r="E495" s="2" t="s">
        <v>32</v>
      </c>
      <c r="F495" s="2">
        <v>5</v>
      </c>
      <c r="G495" s="2">
        <v>3154.38</v>
      </c>
      <c r="H495" s="2">
        <v>15771.9</v>
      </c>
      <c r="I495" s="2">
        <v>13369.74</v>
      </c>
      <c r="J495" s="2">
        <v>2402.16</v>
      </c>
      <c r="K495" s="3">
        <v>45500</v>
      </c>
      <c r="L495" s="3">
        <v>45502</v>
      </c>
      <c r="M495" s="2" t="s">
        <v>50</v>
      </c>
      <c r="N495" s="2">
        <v>3</v>
      </c>
      <c r="O495" s="2" t="s">
        <v>1251</v>
      </c>
      <c r="P495" s="25">
        <v>9.8000000000000007</v>
      </c>
      <c r="Q495" t="str">
        <f t="shared" si="64"/>
        <v>0494</v>
      </c>
      <c r="R495" t="str">
        <f>IF('RETAIL SALES DATA.'!H495&gt;AVERAGE('RETAIL SALES DATA.'!H495:H1494),"HIGHEST VALUE","LOWEST VALUE")</f>
        <v>LOWEST VALUE</v>
      </c>
      <c r="S495" t="str">
        <f t="shared" si="65"/>
        <v>Profit</v>
      </c>
      <c r="T495" t="str">
        <f t="shared" si="66"/>
        <v>Alec Garza</v>
      </c>
      <c r="U495" t="str">
        <f t="shared" si="67"/>
        <v>File</v>
      </c>
      <c r="V495">
        <f t="shared" si="68"/>
        <v>2024</v>
      </c>
      <c r="W495">
        <f t="shared" si="69"/>
        <v>7</v>
      </c>
      <c r="X495">
        <f t="shared" si="70"/>
        <v>27</v>
      </c>
      <c r="Y495" t="str">
        <f t="shared" si="71"/>
        <v>Jul</v>
      </c>
      <c r="Z495">
        <f t="shared" si="72"/>
        <v>2</v>
      </c>
    </row>
    <row r="496" spans="1:26" ht="15.75" customHeight="1" x14ac:dyDescent="0.3">
      <c r="A496" s="2" t="s">
        <v>1252</v>
      </c>
      <c r="B496" s="2" t="s">
        <v>1253</v>
      </c>
      <c r="C496" s="2" t="s">
        <v>144</v>
      </c>
      <c r="D496" s="2" t="s">
        <v>19</v>
      </c>
      <c r="E496" s="2" t="s">
        <v>25</v>
      </c>
      <c r="F496" s="2">
        <v>18</v>
      </c>
      <c r="G496" s="2">
        <v>4259.55</v>
      </c>
      <c r="H496" s="2">
        <v>76671.899999999994</v>
      </c>
      <c r="I496" s="2">
        <v>54546.01</v>
      </c>
      <c r="J496" s="2">
        <v>22125.89</v>
      </c>
      <c r="K496" s="3">
        <v>45932</v>
      </c>
      <c r="L496" s="3">
        <v>45939</v>
      </c>
      <c r="M496" s="2" t="s">
        <v>21</v>
      </c>
      <c r="N496" s="2">
        <v>5</v>
      </c>
      <c r="O496" s="2" t="s">
        <v>839</v>
      </c>
      <c r="P496" s="25">
        <v>7.1</v>
      </c>
      <c r="Q496" t="str">
        <f t="shared" si="64"/>
        <v>0495</v>
      </c>
      <c r="R496" t="str">
        <f>IF('RETAIL SALES DATA.'!H496&gt;AVERAGE('RETAIL SALES DATA.'!H496:H1495),"HIGHEST VALUE","LOWEST VALUE")</f>
        <v>HIGHEST VALUE</v>
      </c>
      <c r="S496" t="str">
        <f t="shared" si="65"/>
        <v>Profit</v>
      </c>
      <c r="T496" t="str">
        <f t="shared" si="66"/>
        <v>Adam Guzman</v>
      </c>
      <c r="U496" t="str">
        <f t="shared" si="67"/>
        <v>File</v>
      </c>
      <c r="V496">
        <f t="shared" si="68"/>
        <v>2025</v>
      </c>
      <c r="W496">
        <f t="shared" si="69"/>
        <v>10</v>
      </c>
      <c r="X496">
        <f t="shared" si="70"/>
        <v>2</v>
      </c>
      <c r="Y496" t="str">
        <f t="shared" si="71"/>
        <v>Oct</v>
      </c>
      <c r="Z496">
        <f t="shared" si="72"/>
        <v>7</v>
      </c>
    </row>
    <row r="497" spans="1:26" ht="15.75" customHeight="1" x14ac:dyDescent="0.3">
      <c r="A497" s="2" t="s">
        <v>1254</v>
      </c>
      <c r="B497" s="2" t="s">
        <v>1255</v>
      </c>
      <c r="C497" s="2" t="s">
        <v>88</v>
      </c>
      <c r="D497" s="2" t="s">
        <v>31</v>
      </c>
      <c r="E497" s="2" t="s">
        <v>25</v>
      </c>
      <c r="F497" s="2">
        <v>7</v>
      </c>
      <c r="G497" s="2">
        <v>3425.71</v>
      </c>
      <c r="H497" s="2">
        <v>23979.97</v>
      </c>
      <c r="I497" s="2">
        <v>13562.42</v>
      </c>
      <c r="J497" s="2">
        <v>10417.549999999999</v>
      </c>
      <c r="K497" s="3">
        <v>45726</v>
      </c>
      <c r="L497" s="3">
        <v>45731</v>
      </c>
      <c r="M497" s="2" t="s">
        <v>45</v>
      </c>
      <c r="N497" s="2">
        <v>3</v>
      </c>
      <c r="O497" s="2" t="s">
        <v>460</v>
      </c>
      <c r="P497" s="25">
        <v>9.6999999999999993</v>
      </c>
      <c r="Q497" t="str">
        <f t="shared" si="64"/>
        <v>0496</v>
      </c>
      <c r="R497" t="str">
        <f>IF('RETAIL SALES DATA.'!H497&gt;AVERAGE('RETAIL SALES DATA.'!H497:H1496),"HIGHEST VALUE","LOWEST VALUE")</f>
        <v>LOWEST VALUE</v>
      </c>
      <c r="S497" t="str">
        <f t="shared" si="65"/>
        <v>Profit</v>
      </c>
      <c r="T497" t="str">
        <f t="shared" si="66"/>
        <v>Angela Camacho</v>
      </c>
      <c r="U497" t="str">
        <f t="shared" si="67"/>
        <v>Cupboard</v>
      </c>
      <c r="V497">
        <f t="shared" si="68"/>
        <v>2025</v>
      </c>
      <c r="W497">
        <f t="shared" si="69"/>
        <v>3</v>
      </c>
      <c r="X497">
        <f t="shared" si="70"/>
        <v>10</v>
      </c>
      <c r="Y497" t="str">
        <f t="shared" si="71"/>
        <v>Mar</v>
      </c>
      <c r="Z497">
        <f t="shared" si="72"/>
        <v>5</v>
      </c>
    </row>
    <row r="498" spans="1:26" ht="15.75" customHeight="1" x14ac:dyDescent="0.3">
      <c r="A498" s="2" t="s">
        <v>1256</v>
      </c>
      <c r="B498" s="2" t="s">
        <v>1257</v>
      </c>
      <c r="C498" s="2" t="s">
        <v>30</v>
      </c>
      <c r="D498" s="2" t="s">
        <v>31</v>
      </c>
      <c r="E498" s="2" t="s">
        <v>44</v>
      </c>
      <c r="F498" s="2">
        <v>13</v>
      </c>
      <c r="G498" s="2">
        <v>3374.42</v>
      </c>
      <c r="H498" s="2">
        <v>43867.46</v>
      </c>
      <c r="I498" s="2">
        <v>28290.34</v>
      </c>
      <c r="J498" s="2">
        <v>15577.12</v>
      </c>
      <c r="K498" s="3">
        <v>45596</v>
      </c>
      <c r="L498" s="3">
        <v>45604</v>
      </c>
      <c r="M498" s="2" t="s">
        <v>45</v>
      </c>
      <c r="N498" s="2">
        <v>4</v>
      </c>
      <c r="O498" s="2" t="s">
        <v>904</v>
      </c>
      <c r="P498" s="25">
        <v>8.4</v>
      </c>
      <c r="Q498" t="str">
        <f t="shared" si="64"/>
        <v>0497</v>
      </c>
      <c r="R498" t="str">
        <f>IF('RETAIL SALES DATA.'!H498&gt;AVERAGE('RETAIL SALES DATA.'!H498:H1497),"HIGHEST VALUE","LOWEST VALUE")</f>
        <v>HIGHEST VALUE</v>
      </c>
      <c r="S498" t="str">
        <f t="shared" si="65"/>
        <v>Profit</v>
      </c>
      <c r="T498" t="str">
        <f t="shared" si="66"/>
        <v>Ryan Diaz</v>
      </c>
      <c r="U498" t="str">
        <f t="shared" si="67"/>
        <v>Desk</v>
      </c>
      <c r="V498">
        <f t="shared" si="68"/>
        <v>2024</v>
      </c>
      <c r="W498">
        <f t="shared" si="69"/>
        <v>11</v>
      </c>
      <c r="X498">
        <f t="shared" si="70"/>
        <v>31</v>
      </c>
      <c r="Y498" t="str">
        <f t="shared" si="71"/>
        <v>Oct</v>
      </c>
      <c r="Z498">
        <f t="shared" si="72"/>
        <v>8</v>
      </c>
    </row>
    <row r="499" spans="1:26" ht="15.75" customHeight="1" x14ac:dyDescent="0.3">
      <c r="A499" s="2" t="s">
        <v>1258</v>
      </c>
      <c r="B499" s="2" t="s">
        <v>1259</v>
      </c>
      <c r="C499" s="2" t="s">
        <v>139</v>
      </c>
      <c r="D499" s="2" t="s">
        <v>31</v>
      </c>
      <c r="E499" s="2" t="s">
        <v>44</v>
      </c>
      <c r="F499" s="2">
        <v>14</v>
      </c>
      <c r="G499" s="2">
        <v>379.18</v>
      </c>
      <c r="H499" s="2">
        <v>5308.52</v>
      </c>
      <c r="I499" s="2">
        <v>3541.49</v>
      </c>
      <c r="J499" s="2">
        <v>1767.03</v>
      </c>
      <c r="K499" s="3">
        <v>45665</v>
      </c>
      <c r="L499" s="3">
        <v>45666</v>
      </c>
      <c r="M499" s="2" t="s">
        <v>58</v>
      </c>
      <c r="N499" s="2">
        <v>4</v>
      </c>
      <c r="O499" s="2" t="s">
        <v>426</v>
      </c>
      <c r="P499" s="25">
        <v>8</v>
      </c>
      <c r="Q499" t="str">
        <f t="shared" si="64"/>
        <v>0498</v>
      </c>
      <c r="R499" t="str">
        <f>IF('RETAIL SALES DATA.'!H499&gt;AVERAGE('RETAIL SALES DATA.'!H499:H1498),"HIGHEST VALUE","LOWEST VALUE")</f>
        <v>LOWEST VALUE</v>
      </c>
      <c r="S499" t="str">
        <f t="shared" si="65"/>
        <v>Profit</v>
      </c>
      <c r="T499" t="str">
        <f t="shared" si="66"/>
        <v>Alicia Nunez</v>
      </c>
      <c r="U499" t="str">
        <f t="shared" si="67"/>
        <v>Sofa</v>
      </c>
      <c r="V499">
        <f t="shared" si="68"/>
        <v>2025</v>
      </c>
      <c r="W499">
        <f t="shared" si="69"/>
        <v>1</v>
      </c>
      <c r="X499">
        <f t="shared" si="70"/>
        <v>8</v>
      </c>
      <c r="Y499" t="str">
        <f t="shared" si="71"/>
        <v>Jan</v>
      </c>
      <c r="Z499">
        <f t="shared" si="72"/>
        <v>1</v>
      </c>
    </row>
    <row r="500" spans="1:26" ht="15.75" customHeight="1" x14ac:dyDescent="0.3">
      <c r="A500" s="2" t="s">
        <v>1260</v>
      </c>
      <c r="B500" s="2" t="s">
        <v>1261</v>
      </c>
      <c r="C500" s="2" t="s">
        <v>37</v>
      </c>
      <c r="D500" s="2" t="s">
        <v>19</v>
      </c>
      <c r="E500" s="2" t="s">
        <v>25</v>
      </c>
      <c r="F500" s="2">
        <v>15</v>
      </c>
      <c r="G500" s="2">
        <v>4984.7700000000004</v>
      </c>
      <c r="H500" s="2">
        <v>74771.55</v>
      </c>
      <c r="I500" s="2">
        <v>39178.269999999997</v>
      </c>
      <c r="J500" s="2">
        <v>35593.279999999999</v>
      </c>
      <c r="K500" s="3">
        <v>45963</v>
      </c>
      <c r="L500" s="3">
        <v>45970</v>
      </c>
      <c r="M500" s="2" t="s">
        <v>181</v>
      </c>
      <c r="N500" s="2">
        <v>1</v>
      </c>
      <c r="O500" s="2" t="s">
        <v>648</v>
      </c>
      <c r="P500" s="25">
        <v>7.4</v>
      </c>
      <c r="Q500" t="str">
        <f t="shared" si="64"/>
        <v>0499</v>
      </c>
      <c r="R500" t="str">
        <f>IF('RETAIL SALES DATA.'!H500&gt;AVERAGE('RETAIL SALES DATA.'!H500:H1499),"HIGHEST VALUE","LOWEST VALUE")</f>
        <v>HIGHEST VALUE</v>
      </c>
      <c r="S500" t="str">
        <f t="shared" si="65"/>
        <v>Profit</v>
      </c>
      <c r="T500" t="str">
        <f t="shared" si="66"/>
        <v>Elizabeth Chambers</v>
      </c>
      <c r="U500" t="str">
        <f t="shared" si="67"/>
        <v>Marker</v>
      </c>
      <c r="V500">
        <f t="shared" si="68"/>
        <v>2025</v>
      </c>
      <c r="W500">
        <f t="shared" si="69"/>
        <v>11</v>
      </c>
      <c r="X500">
        <f t="shared" si="70"/>
        <v>2</v>
      </c>
      <c r="Y500" t="str">
        <f t="shared" si="71"/>
        <v>Nov</v>
      </c>
      <c r="Z500">
        <f t="shared" si="72"/>
        <v>7</v>
      </c>
    </row>
    <row r="501" spans="1:26" ht="15.75" customHeight="1" x14ac:dyDescent="0.3">
      <c r="A501" s="2" t="s">
        <v>1262</v>
      </c>
      <c r="B501" s="2" t="s">
        <v>1263</v>
      </c>
      <c r="C501" s="2" t="s">
        <v>144</v>
      </c>
      <c r="D501" s="2" t="s">
        <v>19</v>
      </c>
      <c r="E501" s="2" t="s">
        <v>44</v>
      </c>
      <c r="F501" s="2">
        <v>13</v>
      </c>
      <c r="G501" s="2">
        <v>3588.85</v>
      </c>
      <c r="H501" s="2">
        <v>46655.05</v>
      </c>
      <c r="I501" s="2">
        <v>27663.13</v>
      </c>
      <c r="J501" s="2">
        <v>18991.919999999998</v>
      </c>
      <c r="K501" s="3">
        <v>45616</v>
      </c>
      <c r="L501" s="3">
        <v>45624</v>
      </c>
      <c r="M501" s="2" t="s">
        <v>50</v>
      </c>
      <c r="N501" s="2">
        <v>1</v>
      </c>
      <c r="O501" s="2" t="s">
        <v>709</v>
      </c>
      <c r="P501" s="25">
        <v>8.6999999999999993</v>
      </c>
      <c r="Q501" t="str">
        <f t="shared" si="64"/>
        <v>0500</v>
      </c>
      <c r="R501" t="str">
        <f>IF('RETAIL SALES DATA.'!H501&gt;AVERAGE('RETAIL SALES DATA.'!H501:H1500),"HIGHEST VALUE","LOWEST VALUE")</f>
        <v>HIGHEST VALUE</v>
      </c>
      <c r="S501" t="str">
        <f t="shared" si="65"/>
        <v>Profit</v>
      </c>
      <c r="T501" t="str">
        <f t="shared" si="66"/>
        <v>David Greene</v>
      </c>
      <c r="U501" t="str">
        <f t="shared" si="67"/>
        <v>File</v>
      </c>
      <c r="V501">
        <f t="shared" si="68"/>
        <v>2024</v>
      </c>
      <c r="W501">
        <f t="shared" si="69"/>
        <v>11</v>
      </c>
      <c r="X501">
        <f t="shared" si="70"/>
        <v>20</v>
      </c>
      <c r="Y501" t="str">
        <f t="shared" si="71"/>
        <v>Nov</v>
      </c>
      <c r="Z501">
        <f t="shared" si="72"/>
        <v>8</v>
      </c>
    </row>
    <row r="502" spans="1:26" ht="15.75" customHeight="1" x14ac:dyDescent="0.3">
      <c r="A502" s="2" t="s">
        <v>1264</v>
      </c>
      <c r="B502" s="2" t="s">
        <v>1265</v>
      </c>
      <c r="C502" s="2" t="s">
        <v>37</v>
      </c>
      <c r="D502" s="2" t="s">
        <v>19</v>
      </c>
      <c r="E502" s="2" t="s">
        <v>32</v>
      </c>
      <c r="F502" s="2">
        <v>7</v>
      </c>
      <c r="G502" s="2">
        <v>799.44</v>
      </c>
      <c r="H502" s="2">
        <v>5596.08</v>
      </c>
      <c r="I502" s="2">
        <v>3264.34</v>
      </c>
      <c r="J502" s="2">
        <v>2331.7399999999998</v>
      </c>
      <c r="K502" s="3">
        <v>45966</v>
      </c>
      <c r="L502" s="3">
        <v>45969</v>
      </c>
      <c r="M502" s="2" t="s">
        <v>69</v>
      </c>
      <c r="N502" s="2">
        <v>4</v>
      </c>
      <c r="O502" s="2" t="s">
        <v>133</v>
      </c>
      <c r="P502" s="25">
        <v>9.9</v>
      </c>
      <c r="Q502" t="str">
        <f t="shared" si="64"/>
        <v>0501</v>
      </c>
      <c r="R502" t="str">
        <f>IF('RETAIL SALES DATA.'!H502&gt;AVERAGE('RETAIL SALES DATA.'!H502:H1501),"HIGHEST VALUE","LOWEST VALUE")</f>
        <v>LOWEST VALUE</v>
      </c>
      <c r="S502" t="str">
        <f t="shared" si="65"/>
        <v>Profit</v>
      </c>
      <c r="T502" t="str">
        <f t="shared" si="66"/>
        <v>Michael King</v>
      </c>
      <c r="U502" t="str">
        <f t="shared" si="67"/>
        <v>Marker</v>
      </c>
      <c r="V502">
        <f t="shared" si="68"/>
        <v>2025</v>
      </c>
      <c r="W502">
        <f t="shared" si="69"/>
        <v>11</v>
      </c>
      <c r="X502">
        <f t="shared" si="70"/>
        <v>5</v>
      </c>
      <c r="Y502" t="str">
        <f t="shared" si="71"/>
        <v>Nov</v>
      </c>
      <c r="Z502">
        <f t="shared" si="72"/>
        <v>3</v>
      </c>
    </row>
    <row r="503" spans="1:26" ht="15.75" customHeight="1" x14ac:dyDescent="0.3">
      <c r="A503" s="2" t="s">
        <v>1266</v>
      </c>
      <c r="B503" s="2" t="s">
        <v>1267</v>
      </c>
      <c r="C503" s="2" t="s">
        <v>168</v>
      </c>
      <c r="D503" s="2" t="s">
        <v>43</v>
      </c>
      <c r="E503" s="2" t="s">
        <v>44</v>
      </c>
      <c r="F503" s="2">
        <v>9</v>
      </c>
      <c r="G503" s="2">
        <v>4695.75</v>
      </c>
      <c r="H503" s="2">
        <v>42261.75</v>
      </c>
      <c r="I503" s="2">
        <v>31791.77</v>
      </c>
      <c r="J503" s="2">
        <v>10469.98</v>
      </c>
      <c r="K503" s="3">
        <v>46127</v>
      </c>
      <c r="L503" s="3">
        <v>46135</v>
      </c>
      <c r="M503" s="2" t="s">
        <v>50</v>
      </c>
      <c r="N503" s="2">
        <v>5</v>
      </c>
      <c r="O503" s="2" t="s">
        <v>1268</v>
      </c>
      <c r="P503" s="25">
        <v>10</v>
      </c>
      <c r="Q503" t="str">
        <f t="shared" si="64"/>
        <v>0502</v>
      </c>
      <c r="R503" t="str">
        <f>IF('RETAIL SALES DATA.'!H503&gt;AVERAGE('RETAIL SALES DATA.'!H503:H1502),"HIGHEST VALUE","LOWEST VALUE")</f>
        <v>HIGHEST VALUE</v>
      </c>
      <c r="S503" t="str">
        <f t="shared" si="65"/>
        <v>Profit</v>
      </c>
      <c r="T503" t="str">
        <f t="shared" si="66"/>
        <v>Jenny Taylor</v>
      </c>
      <c r="U503" t="str">
        <f t="shared" si="67"/>
        <v>Keyboard</v>
      </c>
      <c r="V503">
        <f t="shared" si="68"/>
        <v>2026</v>
      </c>
      <c r="W503">
        <f t="shared" si="69"/>
        <v>4</v>
      </c>
      <c r="X503">
        <f t="shared" si="70"/>
        <v>15</v>
      </c>
      <c r="Y503" t="str">
        <f t="shared" si="71"/>
        <v>Apr</v>
      </c>
      <c r="Z503">
        <f t="shared" si="72"/>
        <v>8</v>
      </c>
    </row>
    <row r="504" spans="1:26" ht="15.75" customHeight="1" x14ac:dyDescent="0.3">
      <c r="A504" s="2" t="s">
        <v>1269</v>
      </c>
      <c r="B504" s="2" t="s">
        <v>1270</v>
      </c>
      <c r="C504" s="2" t="s">
        <v>49</v>
      </c>
      <c r="D504" s="2" t="s">
        <v>43</v>
      </c>
      <c r="E504" s="2" t="s">
        <v>20</v>
      </c>
      <c r="F504" s="2">
        <v>5</v>
      </c>
      <c r="G504" s="2">
        <v>4645.6899999999996</v>
      </c>
      <c r="H504" s="2">
        <v>23228.45</v>
      </c>
      <c r="I504" s="2">
        <v>16821.900000000001</v>
      </c>
      <c r="J504" s="2">
        <v>6406.55</v>
      </c>
      <c r="K504" s="3">
        <v>45908</v>
      </c>
      <c r="L504" s="3">
        <v>45918</v>
      </c>
      <c r="M504" s="2" t="s">
        <v>45</v>
      </c>
      <c r="N504" s="2">
        <v>1</v>
      </c>
      <c r="O504" s="2" t="s">
        <v>159</v>
      </c>
      <c r="P504" s="25">
        <v>8.3000000000000007</v>
      </c>
      <c r="Q504" t="str">
        <f t="shared" si="64"/>
        <v>0503</v>
      </c>
      <c r="R504" t="str">
        <f>IF('RETAIL SALES DATA.'!H504&gt;AVERAGE('RETAIL SALES DATA.'!H504:H1503),"HIGHEST VALUE","LOWEST VALUE")</f>
        <v>LOWEST VALUE</v>
      </c>
      <c r="S504" t="str">
        <f t="shared" si="65"/>
        <v>Profit</v>
      </c>
      <c r="T504" t="str">
        <f t="shared" si="66"/>
        <v>Thomas Nichols</v>
      </c>
      <c r="U504" t="str">
        <f t="shared" si="67"/>
        <v>Mouse</v>
      </c>
      <c r="V504">
        <f t="shared" si="68"/>
        <v>2025</v>
      </c>
      <c r="W504">
        <f t="shared" si="69"/>
        <v>9</v>
      </c>
      <c r="X504">
        <f t="shared" si="70"/>
        <v>8</v>
      </c>
      <c r="Y504" t="str">
        <f t="shared" si="71"/>
        <v>Sep</v>
      </c>
      <c r="Z504">
        <f t="shared" si="72"/>
        <v>10</v>
      </c>
    </row>
    <row r="505" spans="1:26" ht="15.75" customHeight="1" x14ac:dyDescent="0.3">
      <c r="A505" s="2" t="s">
        <v>1271</v>
      </c>
      <c r="B505" s="2" t="s">
        <v>1272</v>
      </c>
      <c r="C505" s="2" t="s">
        <v>88</v>
      </c>
      <c r="D505" s="2" t="s">
        <v>31</v>
      </c>
      <c r="E505" s="2" t="s">
        <v>20</v>
      </c>
      <c r="F505" s="2">
        <v>7</v>
      </c>
      <c r="G505" s="2">
        <v>518.86</v>
      </c>
      <c r="H505" s="2">
        <v>3632.02</v>
      </c>
      <c r="I505" s="2">
        <v>2832.45</v>
      </c>
      <c r="J505" s="2">
        <v>799.57</v>
      </c>
      <c r="K505" s="3">
        <v>45466</v>
      </c>
      <c r="L505" s="3">
        <v>45471</v>
      </c>
      <c r="M505" s="2" t="s">
        <v>33</v>
      </c>
      <c r="N505" s="2">
        <v>1</v>
      </c>
      <c r="O505" s="2" t="s">
        <v>496</v>
      </c>
      <c r="P505" s="25">
        <v>7.2</v>
      </c>
      <c r="Q505" t="str">
        <f t="shared" si="64"/>
        <v>0504</v>
      </c>
      <c r="R505" t="str">
        <f>IF('RETAIL SALES DATA.'!H505&gt;AVERAGE('RETAIL SALES DATA.'!H505:H1504),"HIGHEST VALUE","LOWEST VALUE")</f>
        <v>LOWEST VALUE</v>
      </c>
      <c r="S505" t="str">
        <f t="shared" si="65"/>
        <v>Profit</v>
      </c>
      <c r="T505" t="str">
        <f t="shared" si="66"/>
        <v>Matthew Hoffman</v>
      </c>
      <c r="U505" t="str">
        <f t="shared" si="67"/>
        <v>Cupboard</v>
      </c>
      <c r="V505">
        <f t="shared" si="68"/>
        <v>2024</v>
      </c>
      <c r="W505">
        <f t="shared" si="69"/>
        <v>6</v>
      </c>
      <c r="X505">
        <f t="shared" si="70"/>
        <v>23</v>
      </c>
      <c r="Y505" t="str">
        <f t="shared" si="71"/>
        <v>Jun</v>
      </c>
      <c r="Z505">
        <f t="shared" si="72"/>
        <v>5</v>
      </c>
    </row>
    <row r="506" spans="1:26" ht="15.75" customHeight="1" x14ac:dyDescent="0.3">
      <c r="A506" s="2" t="s">
        <v>1273</v>
      </c>
      <c r="B506" s="2" t="s">
        <v>1274</v>
      </c>
      <c r="C506" s="2" t="s">
        <v>72</v>
      </c>
      <c r="D506" s="2" t="s">
        <v>31</v>
      </c>
      <c r="E506" s="2" t="s">
        <v>25</v>
      </c>
      <c r="F506" s="2">
        <v>8</v>
      </c>
      <c r="G506" s="2">
        <v>3656.54</v>
      </c>
      <c r="H506" s="2">
        <v>29252.32</v>
      </c>
      <c r="I506" s="2">
        <v>17361.28</v>
      </c>
      <c r="J506" s="2">
        <v>11891.04</v>
      </c>
      <c r="K506" s="3">
        <v>45436</v>
      </c>
      <c r="L506" s="3">
        <v>45437</v>
      </c>
      <c r="M506" s="2" t="s">
        <v>33</v>
      </c>
      <c r="N506" s="2">
        <v>5</v>
      </c>
      <c r="O506" s="2" t="s">
        <v>102</v>
      </c>
      <c r="P506" s="25">
        <v>7.7</v>
      </c>
      <c r="Q506" t="str">
        <f t="shared" si="64"/>
        <v>0505</v>
      </c>
      <c r="R506" t="str">
        <f>IF('RETAIL SALES DATA.'!H506&gt;AVERAGE('RETAIL SALES DATA.'!H506:H1505),"HIGHEST VALUE","LOWEST VALUE")</f>
        <v>HIGHEST VALUE</v>
      </c>
      <c r="S506" t="str">
        <f t="shared" si="65"/>
        <v>Profit</v>
      </c>
      <c r="T506" t="str">
        <f t="shared" si="66"/>
        <v>Dr. Glenn Gaines</v>
      </c>
      <c r="U506" t="str">
        <f t="shared" si="67"/>
        <v>Chair</v>
      </c>
      <c r="V506">
        <f t="shared" si="68"/>
        <v>2024</v>
      </c>
      <c r="W506">
        <f t="shared" si="69"/>
        <v>5</v>
      </c>
      <c r="X506">
        <f t="shared" si="70"/>
        <v>24</v>
      </c>
      <c r="Y506" t="str">
        <f t="shared" si="71"/>
        <v>May</v>
      </c>
      <c r="Z506">
        <f t="shared" si="72"/>
        <v>1</v>
      </c>
    </row>
    <row r="507" spans="1:26" ht="15.75" customHeight="1" x14ac:dyDescent="0.3">
      <c r="A507" s="2" t="s">
        <v>1275</v>
      </c>
      <c r="B507" s="2" t="s">
        <v>1276</v>
      </c>
      <c r="C507" s="2" t="s">
        <v>42</v>
      </c>
      <c r="D507" s="2" t="s">
        <v>43</v>
      </c>
      <c r="E507" s="2" t="s">
        <v>20</v>
      </c>
      <c r="F507" s="2">
        <v>20</v>
      </c>
      <c r="G507" s="2">
        <v>1411.37</v>
      </c>
      <c r="H507" s="2">
        <v>28227.4</v>
      </c>
      <c r="I507" s="2">
        <v>24285.89</v>
      </c>
      <c r="J507" s="2">
        <v>3941.51</v>
      </c>
      <c r="K507" s="3">
        <v>45468</v>
      </c>
      <c r="L507" s="3">
        <v>45474</v>
      </c>
      <c r="M507" s="2" t="s">
        <v>26</v>
      </c>
      <c r="N507" s="2">
        <v>2</v>
      </c>
      <c r="O507" s="2" t="s">
        <v>580</v>
      </c>
      <c r="P507" s="25">
        <v>7.9</v>
      </c>
      <c r="Q507" t="str">
        <f t="shared" si="64"/>
        <v>0506</v>
      </c>
      <c r="R507" t="str">
        <f>IF('RETAIL SALES DATA.'!H507&gt;AVERAGE('RETAIL SALES DATA.'!H507:H1506),"HIGHEST VALUE","LOWEST VALUE")</f>
        <v>HIGHEST VALUE</v>
      </c>
      <c r="S507" t="str">
        <f t="shared" si="65"/>
        <v>Profit</v>
      </c>
      <c r="T507" t="str">
        <f t="shared" si="66"/>
        <v>Stephanie Walker</v>
      </c>
      <c r="U507" t="str">
        <f t="shared" si="67"/>
        <v>Laptop</v>
      </c>
      <c r="V507">
        <f t="shared" si="68"/>
        <v>2024</v>
      </c>
      <c r="W507">
        <f t="shared" si="69"/>
        <v>7</v>
      </c>
      <c r="X507">
        <f t="shared" si="70"/>
        <v>25</v>
      </c>
      <c r="Y507" t="str">
        <f t="shared" si="71"/>
        <v>Jun</v>
      </c>
      <c r="Z507">
        <f t="shared" si="72"/>
        <v>6</v>
      </c>
    </row>
    <row r="508" spans="1:26" ht="15.75" customHeight="1" x14ac:dyDescent="0.3">
      <c r="A508" s="2" t="s">
        <v>1277</v>
      </c>
      <c r="B508" s="2" t="s">
        <v>1278</v>
      </c>
      <c r="C508" s="2" t="s">
        <v>49</v>
      </c>
      <c r="D508" s="2" t="s">
        <v>43</v>
      </c>
      <c r="E508" s="2" t="s">
        <v>25</v>
      </c>
      <c r="F508" s="2">
        <v>8</v>
      </c>
      <c r="G508" s="2">
        <v>1046.3399999999999</v>
      </c>
      <c r="H508" s="2">
        <v>8370.7199999999993</v>
      </c>
      <c r="I508" s="2">
        <v>5872.29</v>
      </c>
      <c r="J508" s="2">
        <v>2498.4299999999998</v>
      </c>
      <c r="K508" s="3">
        <v>45908</v>
      </c>
      <c r="L508" s="3">
        <v>45913</v>
      </c>
      <c r="M508" s="2" t="s">
        <v>26</v>
      </c>
      <c r="N508" s="2">
        <v>1</v>
      </c>
      <c r="O508" s="2" t="s">
        <v>240</v>
      </c>
      <c r="P508" s="25">
        <v>7.2</v>
      </c>
      <c r="Q508" t="str">
        <f t="shared" si="64"/>
        <v>0507</v>
      </c>
      <c r="R508" t="str">
        <f>IF('RETAIL SALES DATA.'!H508&gt;AVERAGE('RETAIL SALES DATA.'!H508:H1507),"HIGHEST VALUE","LOWEST VALUE")</f>
        <v>LOWEST VALUE</v>
      </c>
      <c r="S508" t="str">
        <f t="shared" si="65"/>
        <v>Profit</v>
      </c>
      <c r="T508" t="str">
        <f t="shared" si="66"/>
        <v>Brandon Rogers</v>
      </c>
      <c r="U508" t="str">
        <f t="shared" si="67"/>
        <v>Mouse</v>
      </c>
      <c r="V508">
        <f t="shared" si="68"/>
        <v>2025</v>
      </c>
      <c r="W508">
        <f t="shared" si="69"/>
        <v>9</v>
      </c>
      <c r="X508">
        <f t="shared" si="70"/>
        <v>8</v>
      </c>
      <c r="Y508" t="str">
        <f t="shared" si="71"/>
        <v>Sep</v>
      </c>
      <c r="Z508">
        <f t="shared" si="72"/>
        <v>5</v>
      </c>
    </row>
    <row r="509" spans="1:26" ht="15.75" customHeight="1" x14ac:dyDescent="0.3">
      <c r="A509" s="2" t="s">
        <v>1279</v>
      </c>
      <c r="B509" s="2" t="s">
        <v>1280</v>
      </c>
      <c r="C509" s="2" t="s">
        <v>57</v>
      </c>
      <c r="D509" s="2" t="s">
        <v>19</v>
      </c>
      <c r="E509" s="2" t="s">
        <v>20</v>
      </c>
      <c r="F509" s="2">
        <v>7</v>
      </c>
      <c r="G509" s="2">
        <v>913.51</v>
      </c>
      <c r="H509" s="2">
        <v>6394.57</v>
      </c>
      <c r="I509" s="2">
        <v>5020.8900000000003</v>
      </c>
      <c r="J509" s="2">
        <v>1373.68</v>
      </c>
      <c r="K509" s="3">
        <v>45545</v>
      </c>
      <c r="L509" s="3">
        <v>45554</v>
      </c>
      <c r="M509" s="2" t="s">
        <v>123</v>
      </c>
      <c r="N509" s="2">
        <v>5</v>
      </c>
      <c r="O509" s="2" t="s">
        <v>359</v>
      </c>
      <c r="P509" s="25">
        <v>7.2</v>
      </c>
      <c r="Q509" t="str">
        <f t="shared" si="64"/>
        <v>0508</v>
      </c>
      <c r="R509" t="str">
        <f>IF('RETAIL SALES DATA.'!H509&gt;AVERAGE('RETAIL SALES DATA.'!H509:H1508),"HIGHEST VALUE","LOWEST VALUE")</f>
        <v>LOWEST VALUE</v>
      </c>
      <c r="S509" t="str">
        <f t="shared" si="65"/>
        <v>Profit</v>
      </c>
      <c r="T509" t="str">
        <f t="shared" si="66"/>
        <v>Arthur Parker</v>
      </c>
      <c r="U509" t="str">
        <f t="shared" si="67"/>
        <v>Notebook</v>
      </c>
      <c r="V509">
        <f t="shared" si="68"/>
        <v>2024</v>
      </c>
      <c r="W509">
        <f t="shared" si="69"/>
        <v>9</v>
      </c>
      <c r="X509">
        <f t="shared" si="70"/>
        <v>10</v>
      </c>
      <c r="Y509" t="str">
        <f t="shared" si="71"/>
        <v>Sep</v>
      </c>
      <c r="Z509">
        <f t="shared" si="72"/>
        <v>9</v>
      </c>
    </row>
    <row r="510" spans="1:26" ht="15.75" customHeight="1" x14ac:dyDescent="0.3">
      <c r="A510" s="2" t="s">
        <v>1281</v>
      </c>
      <c r="B510" s="2" t="s">
        <v>1282</v>
      </c>
      <c r="C510" s="2" t="s">
        <v>57</v>
      </c>
      <c r="D510" s="2" t="s">
        <v>19</v>
      </c>
      <c r="E510" s="2" t="s">
        <v>44</v>
      </c>
      <c r="F510" s="2">
        <v>15</v>
      </c>
      <c r="G510" s="2">
        <v>1928.24</v>
      </c>
      <c r="H510" s="2">
        <v>28923.599999999999</v>
      </c>
      <c r="I510" s="2">
        <v>17401.46</v>
      </c>
      <c r="J510" s="2">
        <v>11522.14</v>
      </c>
      <c r="K510" s="3">
        <v>45796</v>
      </c>
      <c r="L510" s="3">
        <v>45805</v>
      </c>
      <c r="M510" s="2" t="s">
        <v>123</v>
      </c>
      <c r="N510" s="2">
        <v>2</v>
      </c>
      <c r="O510" s="2" t="s">
        <v>483</v>
      </c>
      <c r="P510" s="25">
        <v>8.4</v>
      </c>
      <c r="Q510" t="str">
        <f t="shared" si="64"/>
        <v>0509</v>
      </c>
      <c r="R510" t="str">
        <f>IF('RETAIL SALES DATA.'!H510&gt;AVERAGE('RETAIL SALES DATA.'!H510:H1509),"HIGHEST VALUE","LOWEST VALUE")</f>
        <v>HIGHEST VALUE</v>
      </c>
      <c r="S510" t="str">
        <f t="shared" si="65"/>
        <v>Profit</v>
      </c>
      <c r="T510" t="str">
        <f t="shared" si="66"/>
        <v>Monica Jackson</v>
      </c>
      <c r="U510" t="str">
        <f t="shared" si="67"/>
        <v>Notebook</v>
      </c>
      <c r="V510">
        <f t="shared" si="68"/>
        <v>2025</v>
      </c>
      <c r="W510">
        <f t="shared" si="69"/>
        <v>5</v>
      </c>
      <c r="X510">
        <f t="shared" si="70"/>
        <v>19</v>
      </c>
      <c r="Y510" t="str">
        <f t="shared" si="71"/>
        <v>May</v>
      </c>
      <c r="Z510">
        <f t="shared" si="72"/>
        <v>9</v>
      </c>
    </row>
    <row r="511" spans="1:26" ht="15.75" customHeight="1" x14ac:dyDescent="0.3">
      <c r="A511" s="2" t="s">
        <v>1283</v>
      </c>
      <c r="B511" s="2" t="s">
        <v>1284</v>
      </c>
      <c r="C511" s="2" t="s">
        <v>62</v>
      </c>
      <c r="D511" s="2" t="s">
        <v>31</v>
      </c>
      <c r="E511" s="2" t="s">
        <v>32</v>
      </c>
      <c r="F511" s="2">
        <v>16</v>
      </c>
      <c r="G511" s="2">
        <v>3523.43</v>
      </c>
      <c r="H511" s="2">
        <v>56374.879999999997</v>
      </c>
      <c r="I511" s="2">
        <v>37420.9</v>
      </c>
      <c r="J511" s="2">
        <v>18953.98</v>
      </c>
      <c r="K511" s="3">
        <v>45627</v>
      </c>
      <c r="L511" s="3">
        <v>45635</v>
      </c>
      <c r="M511" s="2" t="s">
        <v>123</v>
      </c>
      <c r="N511" s="2">
        <v>5</v>
      </c>
      <c r="O511" s="2" t="s">
        <v>567</v>
      </c>
      <c r="P511" s="25">
        <v>8.1999999999999993</v>
      </c>
      <c r="Q511" t="str">
        <f t="shared" si="64"/>
        <v>0510</v>
      </c>
      <c r="R511" t="str">
        <f>IF('RETAIL SALES DATA.'!H511&gt;AVERAGE('RETAIL SALES DATA.'!H511:H1510),"HIGHEST VALUE","LOWEST VALUE")</f>
        <v>HIGHEST VALUE</v>
      </c>
      <c r="S511" t="str">
        <f t="shared" si="65"/>
        <v>Profit</v>
      </c>
      <c r="T511" t="str">
        <f t="shared" si="66"/>
        <v>Corey Ayala</v>
      </c>
      <c r="U511" t="str">
        <f t="shared" si="67"/>
        <v>Table</v>
      </c>
      <c r="V511">
        <f t="shared" si="68"/>
        <v>2024</v>
      </c>
      <c r="W511">
        <f t="shared" si="69"/>
        <v>12</v>
      </c>
      <c r="X511">
        <f t="shared" si="70"/>
        <v>1</v>
      </c>
      <c r="Y511" t="str">
        <f t="shared" si="71"/>
        <v>Dec</v>
      </c>
      <c r="Z511">
        <f t="shared" si="72"/>
        <v>8</v>
      </c>
    </row>
    <row r="512" spans="1:26" ht="15.75" customHeight="1" x14ac:dyDescent="0.3">
      <c r="A512" s="2" t="s">
        <v>1285</v>
      </c>
      <c r="B512" s="2" t="s">
        <v>1286</v>
      </c>
      <c r="C512" s="2" t="s">
        <v>195</v>
      </c>
      <c r="D512" s="2" t="s">
        <v>43</v>
      </c>
      <c r="E512" s="2" t="s">
        <v>20</v>
      </c>
      <c r="F512" s="2">
        <v>3</v>
      </c>
      <c r="G512" s="2">
        <v>667.73</v>
      </c>
      <c r="H512" s="2">
        <v>2003.19</v>
      </c>
      <c r="I512" s="2">
        <v>1090.3399999999999</v>
      </c>
      <c r="J512" s="2">
        <v>912.85</v>
      </c>
      <c r="K512" s="3">
        <v>45957</v>
      </c>
      <c r="L512" s="3">
        <v>45966</v>
      </c>
      <c r="M512" s="2" t="s">
        <v>123</v>
      </c>
      <c r="N512" s="2">
        <v>4</v>
      </c>
      <c r="O512" s="2" t="s">
        <v>936</v>
      </c>
      <c r="P512" s="25">
        <v>6.2</v>
      </c>
      <c r="Q512" t="str">
        <f t="shared" si="64"/>
        <v>0511</v>
      </c>
      <c r="R512" t="str">
        <f>IF('RETAIL SALES DATA.'!H512&gt;AVERAGE('RETAIL SALES DATA.'!H512:H1511),"HIGHEST VALUE","LOWEST VALUE")</f>
        <v>LOWEST VALUE</v>
      </c>
      <c r="S512" t="str">
        <f t="shared" si="65"/>
        <v>Profit</v>
      </c>
      <c r="T512" t="str">
        <f t="shared" si="66"/>
        <v>Amy Johnson</v>
      </c>
      <c r="U512" t="str">
        <f t="shared" si="67"/>
        <v>Monitor</v>
      </c>
      <c r="V512">
        <f t="shared" si="68"/>
        <v>2025</v>
      </c>
      <c r="W512">
        <f t="shared" si="69"/>
        <v>11</v>
      </c>
      <c r="X512">
        <f t="shared" si="70"/>
        <v>27</v>
      </c>
      <c r="Y512" t="str">
        <f t="shared" si="71"/>
        <v>Oct</v>
      </c>
      <c r="Z512">
        <f t="shared" si="72"/>
        <v>9</v>
      </c>
    </row>
    <row r="513" spans="1:26" ht="15.75" customHeight="1" x14ac:dyDescent="0.3">
      <c r="A513" s="2" t="s">
        <v>1287</v>
      </c>
      <c r="B513" s="2" t="s">
        <v>1288</v>
      </c>
      <c r="C513" s="2" t="s">
        <v>139</v>
      </c>
      <c r="D513" s="2" t="s">
        <v>31</v>
      </c>
      <c r="E513" s="2" t="s">
        <v>20</v>
      </c>
      <c r="F513" s="2">
        <v>16</v>
      </c>
      <c r="G513" s="2">
        <v>599.09</v>
      </c>
      <c r="H513" s="2">
        <v>9585.44</v>
      </c>
      <c r="I513" s="2">
        <v>4972.43</v>
      </c>
      <c r="J513" s="2">
        <v>4613.01</v>
      </c>
      <c r="K513" s="3">
        <v>45931</v>
      </c>
      <c r="L513" s="3">
        <v>45932</v>
      </c>
      <c r="M513" s="2" t="s">
        <v>45</v>
      </c>
      <c r="N513" s="2">
        <v>1</v>
      </c>
      <c r="O513" s="2" t="s">
        <v>276</v>
      </c>
      <c r="P513" s="25">
        <v>9.4</v>
      </c>
      <c r="Q513" t="str">
        <f t="shared" si="64"/>
        <v>0512</v>
      </c>
      <c r="R513" t="str">
        <f>IF('RETAIL SALES DATA.'!H513&gt;AVERAGE('RETAIL SALES DATA.'!H513:H1512),"HIGHEST VALUE","LOWEST VALUE")</f>
        <v>LOWEST VALUE</v>
      </c>
      <c r="S513" t="str">
        <f t="shared" si="65"/>
        <v>Profit</v>
      </c>
      <c r="T513" t="str">
        <f t="shared" si="66"/>
        <v>Joshua Young</v>
      </c>
      <c r="U513" t="str">
        <f t="shared" si="67"/>
        <v>Sofa</v>
      </c>
      <c r="V513">
        <f t="shared" si="68"/>
        <v>2025</v>
      </c>
      <c r="W513">
        <f t="shared" si="69"/>
        <v>10</v>
      </c>
      <c r="X513">
        <f t="shared" si="70"/>
        <v>1</v>
      </c>
      <c r="Y513" t="str">
        <f t="shared" si="71"/>
        <v>Oct</v>
      </c>
      <c r="Z513">
        <f t="shared" si="72"/>
        <v>1</v>
      </c>
    </row>
    <row r="514" spans="1:26" ht="15.75" customHeight="1" x14ac:dyDescent="0.3">
      <c r="A514" s="2" t="s">
        <v>1289</v>
      </c>
      <c r="B514" s="2" t="s">
        <v>1290</v>
      </c>
      <c r="C514" s="2" t="s">
        <v>144</v>
      </c>
      <c r="D514" s="2" t="s">
        <v>19</v>
      </c>
      <c r="E514" s="2" t="s">
        <v>44</v>
      </c>
      <c r="F514" s="2">
        <v>4</v>
      </c>
      <c r="G514" s="2">
        <v>1764.77</v>
      </c>
      <c r="H514" s="2">
        <v>7059.08</v>
      </c>
      <c r="I514" s="2">
        <v>5380.33</v>
      </c>
      <c r="J514" s="2">
        <v>1678.75</v>
      </c>
      <c r="K514" s="3">
        <v>45946</v>
      </c>
      <c r="L514" s="3">
        <v>45949</v>
      </c>
      <c r="M514" s="2" t="s">
        <v>45</v>
      </c>
      <c r="N514" s="2">
        <v>1</v>
      </c>
      <c r="O514" s="2" t="s">
        <v>257</v>
      </c>
      <c r="P514" s="25">
        <v>8</v>
      </c>
      <c r="Q514" t="str">
        <f t="shared" si="64"/>
        <v>0513</v>
      </c>
      <c r="R514" t="str">
        <f>IF('RETAIL SALES DATA.'!H514&gt;AVERAGE('RETAIL SALES DATA.'!H514:H1513),"HIGHEST VALUE","LOWEST VALUE")</f>
        <v>LOWEST VALUE</v>
      </c>
      <c r="S514" t="str">
        <f t="shared" si="65"/>
        <v>Profit</v>
      </c>
      <c r="T514" t="str">
        <f t="shared" si="66"/>
        <v>Alison Williams</v>
      </c>
      <c r="U514" t="str">
        <f t="shared" si="67"/>
        <v>File</v>
      </c>
      <c r="V514">
        <f t="shared" si="68"/>
        <v>2025</v>
      </c>
      <c r="W514">
        <f t="shared" si="69"/>
        <v>10</v>
      </c>
      <c r="X514">
        <f t="shared" si="70"/>
        <v>16</v>
      </c>
      <c r="Y514" t="str">
        <f t="shared" si="71"/>
        <v>Oct</v>
      </c>
      <c r="Z514">
        <f t="shared" si="72"/>
        <v>3</v>
      </c>
    </row>
    <row r="515" spans="1:26" ht="15.75" customHeight="1" x14ac:dyDescent="0.3">
      <c r="A515" s="2" t="s">
        <v>1291</v>
      </c>
      <c r="B515" s="2" t="s">
        <v>1292</v>
      </c>
      <c r="C515" s="2" t="s">
        <v>57</v>
      </c>
      <c r="D515" s="2" t="s">
        <v>19</v>
      </c>
      <c r="E515" s="2" t="s">
        <v>44</v>
      </c>
      <c r="F515" s="2">
        <v>18</v>
      </c>
      <c r="G515" s="2">
        <v>1756.37</v>
      </c>
      <c r="H515" s="2">
        <v>31614.66</v>
      </c>
      <c r="I515" s="2">
        <v>15817.16</v>
      </c>
      <c r="J515" s="2">
        <v>15797.5</v>
      </c>
      <c r="K515" s="3">
        <v>46110</v>
      </c>
      <c r="L515" s="3">
        <v>46117</v>
      </c>
      <c r="M515" s="2" t="s">
        <v>38</v>
      </c>
      <c r="N515" s="2">
        <v>4</v>
      </c>
      <c r="O515" s="2" t="s">
        <v>202</v>
      </c>
      <c r="P515" s="25">
        <v>7.2</v>
      </c>
      <c r="Q515" t="str">
        <f t="shared" ref="Q515:Q578" si="73">RIGHT(A515,"4")</f>
        <v>0514</v>
      </c>
      <c r="R515" t="str">
        <f>IF('RETAIL SALES DATA.'!H515&gt;AVERAGE('RETAIL SALES DATA.'!H515:H1514),"HIGHEST VALUE","LOWEST VALUE")</f>
        <v>HIGHEST VALUE</v>
      </c>
      <c r="S515" t="str">
        <f t="shared" ref="S515:S578" si="74">IF(J515&gt;0,"Profit","Loss")</f>
        <v>Profit</v>
      </c>
      <c r="T515" t="str">
        <f t="shared" ref="T515:T578" si="75">PROPER(B515)</f>
        <v>Theresa Huber</v>
      </c>
      <c r="U515" t="str">
        <f t="shared" ref="U515:U578" si="76">PROPER(C515)</f>
        <v>Notebook</v>
      </c>
      <c r="V515">
        <f t="shared" ref="V515:V578" si="77">YEAR(K515)</f>
        <v>2026</v>
      </c>
      <c r="W515">
        <f t="shared" ref="W515:W578" si="78">MONTH(L515)</f>
        <v>4</v>
      </c>
      <c r="X515">
        <f t="shared" ref="X515:X578" si="79">DAY(K515)</f>
        <v>29</v>
      </c>
      <c r="Y515" t="str">
        <f t="shared" ref="Y515:Y578" si="80">TEXT(K515,"MMM")</f>
        <v>Mar</v>
      </c>
      <c r="Z515">
        <f t="shared" ref="Z515:Z578" si="81">L515-K515</f>
        <v>7</v>
      </c>
    </row>
    <row r="516" spans="1:26" ht="15.75" customHeight="1" x14ac:dyDescent="0.3">
      <c r="A516" s="2" t="s">
        <v>1293</v>
      </c>
      <c r="B516" s="2" t="s">
        <v>1294</v>
      </c>
      <c r="C516" s="2" t="s">
        <v>72</v>
      </c>
      <c r="D516" s="2" t="s">
        <v>31</v>
      </c>
      <c r="E516" s="2" t="s">
        <v>32</v>
      </c>
      <c r="F516" s="2">
        <v>6</v>
      </c>
      <c r="G516" s="2">
        <v>753.17</v>
      </c>
      <c r="H516" s="2">
        <v>4519.0200000000004</v>
      </c>
      <c r="I516" s="2">
        <v>2272.75</v>
      </c>
      <c r="J516" s="2">
        <v>2246.27</v>
      </c>
      <c r="K516" s="3">
        <v>45708</v>
      </c>
      <c r="L516" s="3">
        <v>45712</v>
      </c>
      <c r="M516" s="2" t="s">
        <v>58</v>
      </c>
      <c r="N516" s="2">
        <v>4</v>
      </c>
      <c r="O516" s="2" t="s">
        <v>436</v>
      </c>
      <c r="P516" s="25">
        <v>6.2</v>
      </c>
      <c r="Q516" t="str">
        <f t="shared" si="73"/>
        <v>0515</v>
      </c>
      <c r="R516" t="str">
        <f>IF('RETAIL SALES DATA.'!H516&gt;AVERAGE('RETAIL SALES DATA.'!H516:H1515),"HIGHEST VALUE","LOWEST VALUE")</f>
        <v>LOWEST VALUE</v>
      </c>
      <c r="S516" t="str">
        <f t="shared" si="74"/>
        <v>Profit</v>
      </c>
      <c r="T516" t="str">
        <f t="shared" si="75"/>
        <v>Karen Johnston</v>
      </c>
      <c r="U516" t="str">
        <f t="shared" si="76"/>
        <v>Chair</v>
      </c>
      <c r="V516">
        <f t="shared" si="77"/>
        <v>2025</v>
      </c>
      <c r="W516">
        <f t="shared" si="78"/>
        <v>2</v>
      </c>
      <c r="X516">
        <f t="shared" si="79"/>
        <v>20</v>
      </c>
      <c r="Y516" t="str">
        <f t="shared" si="80"/>
        <v>Feb</v>
      </c>
      <c r="Z516">
        <f t="shared" si="81"/>
        <v>4</v>
      </c>
    </row>
    <row r="517" spans="1:26" ht="15.75" customHeight="1" x14ac:dyDescent="0.3">
      <c r="A517" s="2" t="s">
        <v>1295</v>
      </c>
      <c r="B517" s="2" t="s">
        <v>1296</v>
      </c>
      <c r="C517" s="2" t="s">
        <v>95</v>
      </c>
      <c r="D517" s="2" t="s">
        <v>19</v>
      </c>
      <c r="E517" s="2" t="s">
        <v>25</v>
      </c>
      <c r="F517" s="2">
        <v>10</v>
      </c>
      <c r="G517" s="2">
        <v>1256.1199999999999</v>
      </c>
      <c r="H517" s="2">
        <v>12561.2</v>
      </c>
      <c r="I517" s="2">
        <v>10396.379999999999</v>
      </c>
      <c r="J517" s="2">
        <v>2164.8200000000002</v>
      </c>
      <c r="K517" s="3">
        <v>45478</v>
      </c>
      <c r="L517" s="3">
        <v>45484</v>
      </c>
      <c r="M517" s="2" t="s">
        <v>38</v>
      </c>
      <c r="N517" s="2">
        <v>3</v>
      </c>
      <c r="O517" s="2" t="s">
        <v>1297</v>
      </c>
      <c r="P517" s="25">
        <v>7.2</v>
      </c>
      <c r="Q517" t="str">
        <f t="shared" si="73"/>
        <v>0516</v>
      </c>
      <c r="R517" t="str">
        <f>IF('RETAIL SALES DATA.'!H517&gt;AVERAGE('RETAIL SALES DATA.'!H517:H1516),"HIGHEST VALUE","LOWEST VALUE")</f>
        <v>LOWEST VALUE</v>
      </c>
      <c r="S517" t="str">
        <f t="shared" si="74"/>
        <v>Profit</v>
      </c>
      <c r="T517" t="str">
        <f t="shared" si="75"/>
        <v>Clayton Green</v>
      </c>
      <c r="U517" t="str">
        <f t="shared" si="76"/>
        <v>Printer</v>
      </c>
      <c r="V517">
        <f t="shared" si="77"/>
        <v>2024</v>
      </c>
      <c r="W517">
        <f t="shared" si="78"/>
        <v>7</v>
      </c>
      <c r="X517">
        <f t="shared" si="79"/>
        <v>5</v>
      </c>
      <c r="Y517" t="str">
        <f t="shared" si="80"/>
        <v>Jul</v>
      </c>
      <c r="Z517">
        <f t="shared" si="81"/>
        <v>6</v>
      </c>
    </row>
    <row r="518" spans="1:26" ht="15.75" customHeight="1" x14ac:dyDescent="0.3">
      <c r="A518" s="2" t="s">
        <v>1298</v>
      </c>
      <c r="B518" s="2" t="s">
        <v>1299</v>
      </c>
      <c r="C518" s="2" t="s">
        <v>30</v>
      </c>
      <c r="D518" s="2" t="s">
        <v>31</v>
      </c>
      <c r="E518" s="2" t="s">
        <v>25</v>
      </c>
      <c r="F518" s="2">
        <v>3</v>
      </c>
      <c r="G518" s="2">
        <v>53.82</v>
      </c>
      <c r="H518" s="2">
        <v>161.46</v>
      </c>
      <c r="I518" s="2">
        <v>97.81</v>
      </c>
      <c r="J518" s="2">
        <v>63.65</v>
      </c>
      <c r="K518" s="3">
        <v>45535</v>
      </c>
      <c r="L518" s="3">
        <v>45536</v>
      </c>
      <c r="M518" s="2" t="s">
        <v>45</v>
      </c>
      <c r="N518" s="2">
        <v>4</v>
      </c>
      <c r="O518" s="2" t="s">
        <v>257</v>
      </c>
      <c r="P518" s="25">
        <v>8.9</v>
      </c>
      <c r="Q518" t="str">
        <f t="shared" si="73"/>
        <v>0517</v>
      </c>
      <c r="R518" t="str">
        <f>IF('RETAIL SALES DATA.'!H518&gt;AVERAGE('RETAIL SALES DATA.'!H518:H1517),"HIGHEST VALUE","LOWEST VALUE")</f>
        <v>LOWEST VALUE</v>
      </c>
      <c r="S518" t="str">
        <f t="shared" si="74"/>
        <v>Profit</v>
      </c>
      <c r="T518" t="str">
        <f t="shared" si="75"/>
        <v>Tammy Pham</v>
      </c>
      <c r="U518" t="str">
        <f t="shared" si="76"/>
        <v>Desk</v>
      </c>
      <c r="V518">
        <f t="shared" si="77"/>
        <v>2024</v>
      </c>
      <c r="W518">
        <f t="shared" si="78"/>
        <v>9</v>
      </c>
      <c r="X518">
        <f t="shared" si="79"/>
        <v>31</v>
      </c>
      <c r="Y518" t="str">
        <f t="shared" si="80"/>
        <v>Aug</v>
      </c>
      <c r="Z518">
        <f t="shared" si="81"/>
        <v>1</v>
      </c>
    </row>
    <row r="519" spans="1:26" ht="15.75" customHeight="1" x14ac:dyDescent="0.3">
      <c r="A519" s="2" t="s">
        <v>1300</v>
      </c>
      <c r="B519" s="2" t="s">
        <v>1301</v>
      </c>
      <c r="C519" s="2" t="s">
        <v>219</v>
      </c>
      <c r="D519" s="2" t="s">
        <v>43</v>
      </c>
      <c r="E519" s="2" t="s">
        <v>44</v>
      </c>
      <c r="F519" s="2">
        <v>9</v>
      </c>
      <c r="G519" s="2">
        <v>3810.05</v>
      </c>
      <c r="H519" s="2">
        <v>34290.449999999997</v>
      </c>
      <c r="I519" s="2">
        <v>25092.84</v>
      </c>
      <c r="J519" s="2">
        <v>9197.61</v>
      </c>
      <c r="K519" s="3">
        <v>45992</v>
      </c>
      <c r="L519" s="3">
        <v>45997</v>
      </c>
      <c r="M519" s="2" t="s">
        <v>38</v>
      </c>
      <c r="N519" s="2">
        <v>3</v>
      </c>
      <c r="O519" s="2" t="s">
        <v>417</v>
      </c>
      <c r="P519" s="25">
        <v>9</v>
      </c>
      <c r="Q519" t="str">
        <f t="shared" si="73"/>
        <v>0518</v>
      </c>
      <c r="R519" t="str">
        <f>IF('RETAIL SALES DATA.'!H519&gt;AVERAGE('RETAIL SALES DATA.'!H519:H1518),"HIGHEST VALUE","LOWEST VALUE")</f>
        <v>HIGHEST VALUE</v>
      </c>
      <c r="S519" t="str">
        <f t="shared" si="74"/>
        <v>Profit</v>
      </c>
      <c r="T519" t="str">
        <f t="shared" si="75"/>
        <v>Ryan Wallace</v>
      </c>
      <c r="U519" t="str">
        <f t="shared" si="76"/>
        <v>Smartphone</v>
      </c>
      <c r="V519">
        <f t="shared" si="77"/>
        <v>2025</v>
      </c>
      <c r="W519">
        <f t="shared" si="78"/>
        <v>12</v>
      </c>
      <c r="X519">
        <f t="shared" si="79"/>
        <v>1</v>
      </c>
      <c r="Y519" t="str">
        <f t="shared" si="80"/>
        <v>Dec</v>
      </c>
      <c r="Z519">
        <f t="shared" si="81"/>
        <v>5</v>
      </c>
    </row>
    <row r="520" spans="1:26" ht="15.75" customHeight="1" x14ac:dyDescent="0.3">
      <c r="A520" s="2" t="s">
        <v>1302</v>
      </c>
      <c r="B520" s="2" t="s">
        <v>1303</v>
      </c>
      <c r="C520" s="2" t="s">
        <v>139</v>
      </c>
      <c r="D520" s="2" t="s">
        <v>31</v>
      </c>
      <c r="E520" s="2" t="s">
        <v>32</v>
      </c>
      <c r="F520" s="2">
        <v>19</v>
      </c>
      <c r="G520" s="2">
        <v>307.45999999999998</v>
      </c>
      <c r="H520" s="2">
        <v>5841.74</v>
      </c>
      <c r="I520" s="2">
        <v>3732.05</v>
      </c>
      <c r="J520" s="2">
        <v>2109.69</v>
      </c>
      <c r="K520" s="3">
        <v>45927</v>
      </c>
      <c r="L520" s="3">
        <v>45929</v>
      </c>
      <c r="M520" s="2" t="s">
        <v>33</v>
      </c>
      <c r="N520" s="2">
        <v>3</v>
      </c>
      <c r="O520" s="2" t="s">
        <v>658</v>
      </c>
      <c r="P520" s="25">
        <v>7.7</v>
      </c>
      <c r="Q520" t="str">
        <f t="shared" si="73"/>
        <v>0519</v>
      </c>
      <c r="R520" t="str">
        <f>IF('RETAIL SALES DATA.'!H520&gt;AVERAGE('RETAIL SALES DATA.'!H520:H1519),"HIGHEST VALUE","LOWEST VALUE")</f>
        <v>LOWEST VALUE</v>
      </c>
      <c r="S520" t="str">
        <f t="shared" si="74"/>
        <v>Profit</v>
      </c>
      <c r="T520" t="str">
        <f t="shared" si="75"/>
        <v>Leslie Moore</v>
      </c>
      <c r="U520" t="str">
        <f t="shared" si="76"/>
        <v>Sofa</v>
      </c>
      <c r="V520">
        <f t="shared" si="77"/>
        <v>2025</v>
      </c>
      <c r="W520">
        <f t="shared" si="78"/>
        <v>9</v>
      </c>
      <c r="X520">
        <f t="shared" si="79"/>
        <v>27</v>
      </c>
      <c r="Y520" t="str">
        <f t="shared" si="80"/>
        <v>Sep</v>
      </c>
      <c r="Z520">
        <f t="shared" si="81"/>
        <v>2</v>
      </c>
    </row>
    <row r="521" spans="1:26" ht="15.75" customHeight="1" x14ac:dyDescent="0.3">
      <c r="A521" s="2" t="s">
        <v>1304</v>
      </c>
      <c r="B521" s="2" t="s">
        <v>1305</v>
      </c>
      <c r="C521" s="2" t="s">
        <v>139</v>
      </c>
      <c r="D521" s="2" t="s">
        <v>31</v>
      </c>
      <c r="E521" s="2" t="s">
        <v>44</v>
      </c>
      <c r="F521" s="2">
        <v>8</v>
      </c>
      <c r="G521" s="2">
        <v>440.16</v>
      </c>
      <c r="H521" s="2">
        <v>3521.28</v>
      </c>
      <c r="I521" s="2">
        <v>1777.19</v>
      </c>
      <c r="J521" s="2">
        <v>1744.09</v>
      </c>
      <c r="K521" s="3">
        <v>45581</v>
      </c>
      <c r="L521" s="3">
        <v>45585</v>
      </c>
      <c r="M521" s="2" t="s">
        <v>50</v>
      </c>
      <c r="N521" s="2">
        <v>1</v>
      </c>
      <c r="O521" s="2" t="s">
        <v>823</v>
      </c>
      <c r="P521" s="25">
        <v>6.2</v>
      </c>
      <c r="Q521" t="str">
        <f t="shared" si="73"/>
        <v>0520</v>
      </c>
      <c r="R521" t="str">
        <f>IF('RETAIL SALES DATA.'!H521&gt;AVERAGE('RETAIL SALES DATA.'!H521:H1520),"HIGHEST VALUE","LOWEST VALUE")</f>
        <v>LOWEST VALUE</v>
      </c>
      <c r="S521" t="str">
        <f t="shared" si="74"/>
        <v>Profit</v>
      </c>
      <c r="T521" t="str">
        <f t="shared" si="75"/>
        <v>Stephanie Monroe</v>
      </c>
      <c r="U521" t="str">
        <f t="shared" si="76"/>
        <v>Sofa</v>
      </c>
      <c r="V521">
        <f t="shared" si="77"/>
        <v>2024</v>
      </c>
      <c r="W521">
        <f t="shared" si="78"/>
        <v>10</v>
      </c>
      <c r="X521">
        <f t="shared" si="79"/>
        <v>16</v>
      </c>
      <c r="Y521" t="str">
        <f t="shared" si="80"/>
        <v>Oct</v>
      </c>
      <c r="Z521">
        <f t="shared" si="81"/>
        <v>4</v>
      </c>
    </row>
    <row r="522" spans="1:26" ht="15.75" customHeight="1" x14ac:dyDescent="0.3">
      <c r="A522" s="2" t="s">
        <v>1306</v>
      </c>
      <c r="B522" s="2" t="s">
        <v>1307</v>
      </c>
      <c r="C522" s="2" t="s">
        <v>219</v>
      </c>
      <c r="D522" s="2" t="s">
        <v>43</v>
      </c>
      <c r="E522" s="2" t="s">
        <v>44</v>
      </c>
      <c r="F522" s="2">
        <v>1</v>
      </c>
      <c r="G522" s="2">
        <v>1707.42</v>
      </c>
      <c r="H522" s="2">
        <v>1707.42</v>
      </c>
      <c r="I522" s="2">
        <v>1131.1500000000001</v>
      </c>
      <c r="J522" s="2">
        <v>576.27</v>
      </c>
      <c r="K522" s="3">
        <v>46049</v>
      </c>
      <c r="L522" s="3">
        <v>46056</v>
      </c>
      <c r="M522" s="2" t="s">
        <v>26</v>
      </c>
      <c r="N522" s="2">
        <v>2</v>
      </c>
      <c r="O522" s="2" t="s">
        <v>417</v>
      </c>
      <c r="P522" s="25">
        <v>8.9</v>
      </c>
      <c r="Q522" t="str">
        <f t="shared" si="73"/>
        <v>0521</v>
      </c>
      <c r="R522" t="str">
        <f>IF('RETAIL SALES DATA.'!H522&gt;AVERAGE('RETAIL SALES DATA.'!H522:H1521),"HIGHEST VALUE","LOWEST VALUE")</f>
        <v>LOWEST VALUE</v>
      </c>
      <c r="S522" t="str">
        <f t="shared" si="74"/>
        <v>Profit</v>
      </c>
      <c r="T522" t="str">
        <f t="shared" si="75"/>
        <v>Anthony Stevens</v>
      </c>
      <c r="U522" t="str">
        <f t="shared" si="76"/>
        <v>Smartphone</v>
      </c>
      <c r="V522">
        <f t="shared" si="77"/>
        <v>2026</v>
      </c>
      <c r="W522">
        <f t="shared" si="78"/>
        <v>2</v>
      </c>
      <c r="X522">
        <f t="shared" si="79"/>
        <v>27</v>
      </c>
      <c r="Y522" t="str">
        <f t="shared" si="80"/>
        <v>Jan</v>
      </c>
      <c r="Z522">
        <f t="shared" si="81"/>
        <v>7</v>
      </c>
    </row>
    <row r="523" spans="1:26" ht="15.75" customHeight="1" x14ac:dyDescent="0.3">
      <c r="A523" s="2" t="s">
        <v>1308</v>
      </c>
      <c r="B523" s="2" t="s">
        <v>1309</v>
      </c>
      <c r="C523" s="2" t="s">
        <v>195</v>
      </c>
      <c r="D523" s="2" t="s">
        <v>43</v>
      </c>
      <c r="E523" s="2" t="s">
        <v>20</v>
      </c>
      <c r="F523" s="2">
        <v>19</v>
      </c>
      <c r="G523" s="2">
        <v>2236.38</v>
      </c>
      <c r="H523" s="2">
        <v>42491.22</v>
      </c>
      <c r="I523" s="2">
        <v>28677.41</v>
      </c>
      <c r="J523" s="2">
        <v>13813.81</v>
      </c>
      <c r="K523" s="3">
        <v>45884</v>
      </c>
      <c r="L523" s="3">
        <v>45894</v>
      </c>
      <c r="M523" s="2" t="s">
        <v>21</v>
      </c>
      <c r="N523" s="2">
        <v>1</v>
      </c>
      <c r="O523" s="2" t="s">
        <v>226</v>
      </c>
      <c r="P523" s="25">
        <v>9.6999999999999993</v>
      </c>
      <c r="Q523" t="str">
        <f t="shared" si="73"/>
        <v>0522</v>
      </c>
      <c r="R523" t="str">
        <f>IF('RETAIL SALES DATA.'!H523&gt;AVERAGE('RETAIL SALES DATA.'!H523:H1522),"HIGHEST VALUE","LOWEST VALUE")</f>
        <v>HIGHEST VALUE</v>
      </c>
      <c r="S523" t="str">
        <f t="shared" si="74"/>
        <v>Profit</v>
      </c>
      <c r="T523" t="str">
        <f t="shared" si="75"/>
        <v>Henry Harris</v>
      </c>
      <c r="U523" t="str">
        <f t="shared" si="76"/>
        <v>Monitor</v>
      </c>
      <c r="V523">
        <f t="shared" si="77"/>
        <v>2025</v>
      </c>
      <c r="W523">
        <f t="shared" si="78"/>
        <v>8</v>
      </c>
      <c r="X523">
        <f t="shared" si="79"/>
        <v>15</v>
      </c>
      <c r="Y523" t="str">
        <f t="shared" si="80"/>
        <v>Aug</v>
      </c>
      <c r="Z523">
        <f t="shared" si="81"/>
        <v>10</v>
      </c>
    </row>
    <row r="524" spans="1:26" ht="15.75" customHeight="1" x14ac:dyDescent="0.3">
      <c r="A524" s="2" t="s">
        <v>1310</v>
      </c>
      <c r="B524" s="2" t="s">
        <v>1311</v>
      </c>
      <c r="C524" s="2" t="s">
        <v>195</v>
      </c>
      <c r="D524" s="2" t="s">
        <v>43</v>
      </c>
      <c r="E524" s="2" t="s">
        <v>44</v>
      </c>
      <c r="F524" s="2">
        <v>4</v>
      </c>
      <c r="G524" s="2">
        <v>448.58</v>
      </c>
      <c r="H524" s="2">
        <v>1794.32</v>
      </c>
      <c r="I524" s="2">
        <v>1232.9000000000001</v>
      </c>
      <c r="J524" s="2">
        <v>561.41999999999996</v>
      </c>
      <c r="K524" s="3">
        <v>45890</v>
      </c>
      <c r="L524" s="3">
        <v>45898</v>
      </c>
      <c r="M524" s="2" t="s">
        <v>69</v>
      </c>
      <c r="N524" s="2">
        <v>5</v>
      </c>
      <c r="O524" s="2" t="s">
        <v>420</v>
      </c>
      <c r="P524" s="25">
        <v>8</v>
      </c>
      <c r="Q524" t="str">
        <f t="shared" si="73"/>
        <v>0523</v>
      </c>
      <c r="R524" t="str">
        <f>IF('RETAIL SALES DATA.'!H524&gt;AVERAGE('RETAIL SALES DATA.'!H524:H1523),"HIGHEST VALUE","LOWEST VALUE")</f>
        <v>LOWEST VALUE</v>
      </c>
      <c r="S524" t="str">
        <f t="shared" si="74"/>
        <v>Profit</v>
      </c>
      <c r="T524" t="str">
        <f t="shared" si="75"/>
        <v>Laurie Palmer</v>
      </c>
      <c r="U524" t="str">
        <f t="shared" si="76"/>
        <v>Monitor</v>
      </c>
      <c r="V524">
        <f t="shared" si="77"/>
        <v>2025</v>
      </c>
      <c r="W524">
        <f t="shared" si="78"/>
        <v>8</v>
      </c>
      <c r="X524">
        <f t="shared" si="79"/>
        <v>21</v>
      </c>
      <c r="Y524" t="str">
        <f t="shared" si="80"/>
        <v>Aug</v>
      </c>
      <c r="Z524">
        <f t="shared" si="81"/>
        <v>8</v>
      </c>
    </row>
    <row r="525" spans="1:26" ht="15.75" customHeight="1" x14ac:dyDescent="0.3">
      <c r="A525" s="2" t="s">
        <v>1312</v>
      </c>
      <c r="B525" s="2" t="s">
        <v>1313</v>
      </c>
      <c r="C525" s="2" t="s">
        <v>168</v>
      </c>
      <c r="D525" s="2" t="s">
        <v>43</v>
      </c>
      <c r="E525" s="2" t="s">
        <v>25</v>
      </c>
      <c r="F525" s="2">
        <v>13</v>
      </c>
      <c r="G525" s="2">
        <v>2139.46</v>
      </c>
      <c r="H525" s="2">
        <v>27812.98</v>
      </c>
      <c r="I525" s="2">
        <v>20929.439999999999</v>
      </c>
      <c r="J525" s="2">
        <v>6883.54</v>
      </c>
      <c r="K525" s="3">
        <v>45469</v>
      </c>
      <c r="L525" s="3">
        <v>45473</v>
      </c>
      <c r="M525" s="2" t="s">
        <v>33</v>
      </c>
      <c r="N525" s="2">
        <v>4</v>
      </c>
      <c r="O525" s="2" t="s">
        <v>73</v>
      </c>
      <c r="P525" s="25">
        <v>9.9</v>
      </c>
      <c r="Q525" t="str">
        <f t="shared" si="73"/>
        <v>0524</v>
      </c>
      <c r="R525" t="str">
        <f>IF('RETAIL SALES DATA.'!H525&gt;AVERAGE('RETAIL SALES DATA.'!H525:H1524),"HIGHEST VALUE","LOWEST VALUE")</f>
        <v>HIGHEST VALUE</v>
      </c>
      <c r="S525" t="str">
        <f t="shared" si="74"/>
        <v>Profit</v>
      </c>
      <c r="T525" t="str">
        <f t="shared" si="75"/>
        <v>Kyle Scott</v>
      </c>
      <c r="U525" t="str">
        <f t="shared" si="76"/>
        <v>Keyboard</v>
      </c>
      <c r="V525">
        <f t="shared" si="77"/>
        <v>2024</v>
      </c>
      <c r="W525">
        <f t="shared" si="78"/>
        <v>6</v>
      </c>
      <c r="X525">
        <f t="shared" si="79"/>
        <v>26</v>
      </c>
      <c r="Y525" t="str">
        <f t="shared" si="80"/>
        <v>Jun</v>
      </c>
      <c r="Z525">
        <f t="shared" si="81"/>
        <v>4</v>
      </c>
    </row>
    <row r="526" spans="1:26" ht="15.75" customHeight="1" x14ac:dyDescent="0.3">
      <c r="A526" s="2" t="s">
        <v>1314</v>
      </c>
      <c r="B526" s="2" t="s">
        <v>1315</v>
      </c>
      <c r="C526" s="2" t="s">
        <v>219</v>
      </c>
      <c r="D526" s="2" t="s">
        <v>43</v>
      </c>
      <c r="E526" s="2" t="s">
        <v>44</v>
      </c>
      <c r="F526" s="2">
        <v>3</v>
      </c>
      <c r="G526" s="2">
        <v>4635.3</v>
      </c>
      <c r="H526" s="2">
        <v>13905.9</v>
      </c>
      <c r="I526" s="2">
        <v>12259.2</v>
      </c>
      <c r="J526" s="2">
        <v>1646.7</v>
      </c>
      <c r="K526" s="3">
        <v>45658</v>
      </c>
      <c r="L526" s="3">
        <v>45663</v>
      </c>
      <c r="M526" s="2" t="s">
        <v>33</v>
      </c>
      <c r="N526" s="2">
        <v>1</v>
      </c>
      <c r="O526" s="2" t="s">
        <v>22</v>
      </c>
      <c r="P526" s="25">
        <v>7.6</v>
      </c>
      <c r="Q526" t="str">
        <f t="shared" si="73"/>
        <v>0525</v>
      </c>
      <c r="R526" t="str">
        <f>IF('RETAIL SALES DATA.'!H526&gt;AVERAGE('RETAIL SALES DATA.'!H526:H1525),"HIGHEST VALUE","LOWEST VALUE")</f>
        <v>LOWEST VALUE</v>
      </c>
      <c r="S526" t="str">
        <f t="shared" si="74"/>
        <v>Profit</v>
      </c>
      <c r="T526" t="str">
        <f t="shared" si="75"/>
        <v>Jimmy Brown</v>
      </c>
      <c r="U526" t="str">
        <f t="shared" si="76"/>
        <v>Smartphone</v>
      </c>
      <c r="V526">
        <f t="shared" si="77"/>
        <v>2025</v>
      </c>
      <c r="W526">
        <f t="shared" si="78"/>
        <v>1</v>
      </c>
      <c r="X526">
        <f t="shared" si="79"/>
        <v>1</v>
      </c>
      <c r="Y526" t="str">
        <f t="shared" si="80"/>
        <v>Jan</v>
      </c>
      <c r="Z526">
        <f t="shared" si="81"/>
        <v>5</v>
      </c>
    </row>
    <row r="527" spans="1:26" ht="15.75" customHeight="1" x14ac:dyDescent="0.3">
      <c r="A527" s="2" t="s">
        <v>1316</v>
      </c>
      <c r="B527" s="2" t="s">
        <v>1317</v>
      </c>
      <c r="C527" s="2" t="s">
        <v>219</v>
      </c>
      <c r="D527" s="2" t="s">
        <v>43</v>
      </c>
      <c r="E527" s="2" t="s">
        <v>20</v>
      </c>
      <c r="F527" s="2">
        <v>6</v>
      </c>
      <c r="G527" s="2">
        <v>1483.57</v>
      </c>
      <c r="H527" s="2">
        <v>8901.42</v>
      </c>
      <c r="I527" s="2">
        <v>7283.86</v>
      </c>
      <c r="J527" s="2">
        <v>1617.56</v>
      </c>
      <c r="K527" s="3">
        <v>45660</v>
      </c>
      <c r="L527" s="3">
        <v>45667</v>
      </c>
      <c r="M527" s="2" t="s">
        <v>50</v>
      </c>
      <c r="N527" s="2">
        <v>1</v>
      </c>
      <c r="O527" s="2" t="s">
        <v>1057</v>
      </c>
      <c r="P527" s="25">
        <v>6.6</v>
      </c>
      <c r="Q527" t="str">
        <f t="shared" si="73"/>
        <v>0526</v>
      </c>
      <c r="R527" t="str">
        <f>IF('RETAIL SALES DATA.'!H527&gt;AVERAGE('RETAIL SALES DATA.'!H527:H1526),"HIGHEST VALUE","LOWEST VALUE")</f>
        <v>LOWEST VALUE</v>
      </c>
      <c r="S527" t="str">
        <f t="shared" si="74"/>
        <v>Profit</v>
      </c>
      <c r="T527" t="str">
        <f t="shared" si="75"/>
        <v>Joel Doyle</v>
      </c>
      <c r="U527" t="str">
        <f t="shared" si="76"/>
        <v>Smartphone</v>
      </c>
      <c r="V527">
        <f t="shared" si="77"/>
        <v>2025</v>
      </c>
      <c r="W527">
        <f t="shared" si="78"/>
        <v>1</v>
      </c>
      <c r="X527">
        <f t="shared" si="79"/>
        <v>3</v>
      </c>
      <c r="Y527" t="str">
        <f t="shared" si="80"/>
        <v>Jan</v>
      </c>
      <c r="Z527">
        <f t="shared" si="81"/>
        <v>7</v>
      </c>
    </row>
    <row r="528" spans="1:26" ht="15.75" customHeight="1" x14ac:dyDescent="0.3">
      <c r="A528" s="2" t="s">
        <v>1318</v>
      </c>
      <c r="B528" s="2" t="s">
        <v>1319</v>
      </c>
      <c r="C528" s="2" t="s">
        <v>144</v>
      </c>
      <c r="D528" s="2" t="s">
        <v>19</v>
      </c>
      <c r="E528" s="2" t="s">
        <v>25</v>
      </c>
      <c r="F528" s="2">
        <v>18</v>
      </c>
      <c r="G528" s="2">
        <v>4659.5600000000004</v>
      </c>
      <c r="H528" s="2">
        <v>83872.08</v>
      </c>
      <c r="I528" s="2">
        <v>62826.879999999997</v>
      </c>
      <c r="J528" s="2">
        <v>21045.200000000001</v>
      </c>
      <c r="K528" s="3">
        <v>45895</v>
      </c>
      <c r="L528" s="3">
        <v>45900</v>
      </c>
      <c r="M528" s="2" t="s">
        <v>58</v>
      </c>
      <c r="N528" s="2">
        <v>4</v>
      </c>
      <c r="O528" s="2" t="s">
        <v>512</v>
      </c>
      <c r="P528" s="25">
        <v>9.6</v>
      </c>
      <c r="Q528" t="str">
        <f t="shared" si="73"/>
        <v>0527</v>
      </c>
      <c r="R528" t="str">
        <f>IF('RETAIL SALES DATA.'!H528&gt;AVERAGE('RETAIL SALES DATA.'!H528:H1527),"HIGHEST VALUE","LOWEST VALUE")</f>
        <v>HIGHEST VALUE</v>
      </c>
      <c r="S528" t="str">
        <f t="shared" si="74"/>
        <v>Profit</v>
      </c>
      <c r="T528" t="str">
        <f t="shared" si="75"/>
        <v>Ana Chambers</v>
      </c>
      <c r="U528" t="str">
        <f t="shared" si="76"/>
        <v>File</v>
      </c>
      <c r="V528">
        <f t="shared" si="77"/>
        <v>2025</v>
      </c>
      <c r="W528">
        <f t="shared" si="78"/>
        <v>8</v>
      </c>
      <c r="X528">
        <f t="shared" si="79"/>
        <v>26</v>
      </c>
      <c r="Y528" t="str">
        <f t="shared" si="80"/>
        <v>Aug</v>
      </c>
      <c r="Z528">
        <f t="shared" si="81"/>
        <v>5</v>
      </c>
    </row>
    <row r="529" spans="1:26" ht="15.75" customHeight="1" x14ac:dyDescent="0.3">
      <c r="A529" s="2" t="s">
        <v>1320</v>
      </c>
      <c r="B529" s="2" t="s">
        <v>1321</v>
      </c>
      <c r="C529" s="2" t="s">
        <v>195</v>
      </c>
      <c r="D529" s="2" t="s">
        <v>43</v>
      </c>
      <c r="E529" s="2" t="s">
        <v>44</v>
      </c>
      <c r="F529" s="2">
        <v>15</v>
      </c>
      <c r="G529" s="2">
        <v>2662.97</v>
      </c>
      <c r="H529" s="2">
        <v>39944.550000000003</v>
      </c>
      <c r="I529" s="2">
        <v>34682.82</v>
      </c>
      <c r="J529" s="2">
        <v>5261.73</v>
      </c>
      <c r="K529" s="3">
        <v>46146</v>
      </c>
      <c r="L529" s="3">
        <v>46148</v>
      </c>
      <c r="M529" s="2" t="s">
        <v>26</v>
      </c>
      <c r="N529" s="2">
        <v>3</v>
      </c>
      <c r="O529" s="2" t="s">
        <v>1322</v>
      </c>
      <c r="P529" s="25">
        <v>9.9</v>
      </c>
      <c r="Q529" t="str">
        <f t="shared" si="73"/>
        <v>0528</v>
      </c>
      <c r="R529" t="str">
        <f>IF('RETAIL SALES DATA.'!H529&gt;AVERAGE('RETAIL SALES DATA.'!H529:H1528),"HIGHEST VALUE","LOWEST VALUE")</f>
        <v>HIGHEST VALUE</v>
      </c>
      <c r="S529" t="str">
        <f t="shared" si="74"/>
        <v>Profit</v>
      </c>
      <c r="T529" t="str">
        <f t="shared" si="75"/>
        <v>Teresa Roman</v>
      </c>
      <c r="U529" t="str">
        <f t="shared" si="76"/>
        <v>Monitor</v>
      </c>
      <c r="V529">
        <f t="shared" si="77"/>
        <v>2026</v>
      </c>
      <c r="W529">
        <f t="shared" si="78"/>
        <v>5</v>
      </c>
      <c r="X529">
        <f t="shared" si="79"/>
        <v>4</v>
      </c>
      <c r="Y529" t="str">
        <f t="shared" si="80"/>
        <v>May</v>
      </c>
      <c r="Z529">
        <f t="shared" si="81"/>
        <v>2</v>
      </c>
    </row>
    <row r="530" spans="1:26" ht="15.75" customHeight="1" x14ac:dyDescent="0.3">
      <c r="A530" s="2" t="s">
        <v>1323</v>
      </c>
      <c r="B530" s="2" t="s">
        <v>1324</v>
      </c>
      <c r="C530" s="2" t="s">
        <v>88</v>
      </c>
      <c r="D530" s="2" t="s">
        <v>31</v>
      </c>
      <c r="E530" s="2" t="s">
        <v>44</v>
      </c>
      <c r="F530" s="2">
        <v>11</v>
      </c>
      <c r="G530" s="2">
        <v>1791.73</v>
      </c>
      <c r="H530" s="2">
        <v>19709.03</v>
      </c>
      <c r="I530" s="2">
        <v>11884.95</v>
      </c>
      <c r="J530" s="2">
        <v>7824.08</v>
      </c>
      <c r="K530" s="3">
        <v>46084</v>
      </c>
      <c r="L530" s="3">
        <v>46090</v>
      </c>
      <c r="M530" s="2" t="s">
        <v>21</v>
      </c>
      <c r="N530" s="2">
        <v>4</v>
      </c>
      <c r="O530" s="2" t="s">
        <v>712</v>
      </c>
      <c r="P530" s="25">
        <v>7</v>
      </c>
      <c r="Q530" t="str">
        <f t="shared" si="73"/>
        <v>0529</v>
      </c>
      <c r="R530" t="str">
        <f>IF('RETAIL SALES DATA.'!H530&gt;AVERAGE('RETAIL SALES DATA.'!H530:H1529),"HIGHEST VALUE","LOWEST VALUE")</f>
        <v>LOWEST VALUE</v>
      </c>
      <c r="S530" t="str">
        <f t="shared" si="74"/>
        <v>Profit</v>
      </c>
      <c r="T530" t="str">
        <f t="shared" si="75"/>
        <v>Mary Williams</v>
      </c>
      <c r="U530" t="str">
        <f t="shared" si="76"/>
        <v>Cupboard</v>
      </c>
      <c r="V530">
        <f t="shared" si="77"/>
        <v>2026</v>
      </c>
      <c r="W530">
        <f t="shared" si="78"/>
        <v>3</v>
      </c>
      <c r="X530">
        <f t="shared" si="79"/>
        <v>3</v>
      </c>
      <c r="Y530" t="str">
        <f t="shared" si="80"/>
        <v>Mar</v>
      </c>
      <c r="Z530">
        <f t="shared" si="81"/>
        <v>6</v>
      </c>
    </row>
    <row r="531" spans="1:26" ht="15.75" customHeight="1" x14ac:dyDescent="0.3">
      <c r="A531" s="2" t="s">
        <v>1325</v>
      </c>
      <c r="B531" s="2" t="s">
        <v>1326</v>
      </c>
      <c r="C531" s="2" t="s">
        <v>139</v>
      </c>
      <c r="D531" s="2" t="s">
        <v>31</v>
      </c>
      <c r="E531" s="2" t="s">
        <v>44</v>
      </c>
      <c r="F531" s="2">
        <v>17</v>
      </c>
      <c r="G531" s="2">
        <v>653.09</v>
      </c>
      <c r="H531" s="2">
        <v>11102.53</v>
      </c>
      <c r="I531" s="2">
        <v>8811.7000000000007</v>
      </c>
      <c r="J531" s="2">
        <v>2290.83</v>
      </c>
      <c r="K531" s="3">
        <v>45559</v>
      </c>
      <c r="L531" s="3">
        <v>45565</v>
      </c>
      <c r="M531" s="2" t="s">
        <v>50</v>
      </c>
      <c r="N531" s="2">
        <v>4</v>
      </c>
      <c r="O531" s="2" t="s">
        <v>692</v>
      </c>
      <c r="P531" s="25">
        <v>7</v>
      </c>
      <c r="Q531" t="str">
        <f t="shared" si="73"/>
        <v>0530</v>
      </c>
      <c r="R531" t="str">
        <f>IF('RETAIL SALES DATA.'!H531&gt;AVERAGE('RETAIL SALES DATA.'!H531:H1530),"HIGHEST VALUE","LOWEST VALUE")</f>
        <v>LOWEST VALUE</v>
      </c>
      <c r="S531" t="str">
        <f t="shared" si="74"/>
        <v>Profit</v>
      </c>
      <c r="T531" t="str">
        <f t="shared" si="75"/>
        <v>David Perez</v>
      </c>
      <c r="U531" t="str">
        <f t="shared" si="76"/>
        <v>Sofa</v>
      </c>
      <c r="V531">
        <f t="shared" si="77"/>
        <v>2024</v>
      </c>
      <c r="W531">
        <f t="shared" si="78"/>
        <v>9</v>
      </c>
      <c r="X531">
        <f t="shared" si="79"/>
        <v>24</v>
      </c>
      <c r="Y531" t="str">
        <f t="shared" si="80"/>
        <v>Sep</v>
      </c>
      <c r="Z531">
        <f t="shared" si="81"/>
        <v>6</v>
      </c>
    </row>
    <row r="532" spans="1:26" ht="15.75" customHeight="1" x14ac:dyDescent="0.3">
      <c r="A532" s="2" t="s">
        <v>1327</v>
      </c>
      <c r="B532" s="2" t="s">
        <v>1328</v>
      </c>
      <c r="C532" s="2" t="s">
        <v>42</v>
      </c>
      <c r="D532" s="2" t="s">
        <v>43</v>
      </c>
      <c r="E532" s="2" t="s">
        <v>44</v>
      </c>
      <c r="F532" s="2">
        <v>1</v>
      </c>
      <c r="G532" s="2">
        <v>525.62</v>
      </c>
      <c r="H532" s="2">
        <v>525.62</v>
      </c>
      <c r="I532" s="2">
        <v>433.21</v>
      </c>
      <c r="J532" s="2">
        <v>92.41</v>
      </c>
      <c r="K532" s="3">
        <v>45954</v>
      </c>
      <c r="L532" s="3">
        <v>45959</v>
      </c>
      <c r="M532" s="2" t="s">
        <v>26</v>
      </c>
      <c r="N532" s="2">
        <v>4</v>
      </c>
      <c r="O532" s="2" t="s">
        <v>297</v>
      </c>
      <c r="P532" s="25">
        <v>8.1</v>
      </c>
      <c r="Q532" t="str">
        <f t="shared" si="73"/>
        <v>0531</v>
      </c>
      <c r="R532" t="str">
        <f>IF('RETAIL SALES DATA.'!H532&gt;AVERAGE('RETAIL SALES DATA.'!H532:H1531),"HIGHEST VALUE","LOWEST VALUE")</f>
        <v>LOWEST VALUE</v>
      </c>
      <c r="S532" t="str">
        <f t="shared" si="74"/>
        <v>Profit</v>
      </c>
      <c r="T532" t="str">
        <f t="shared" si="75"/>
        <v>Richard Owens</v>
      </c>
      <c r="U532" t="str">
        <f t="shared" si="76"/>
        <v>Laptop</v>
      </c>
      <c r="V532">
        <f t="shared" si="77"/>
        <v>2025</v>
      </c>
      <c r="W532">
        <f t="shared" si="78"/>
        <v>10</v>
      </c>
      <c r="X532">
        <f t="shared" si="79"/>
        <v>24</v>
      </c>
      <c r="Y532" t="str">
        <f t="shared" si="80"/>
        <v>Oct</v>
      </c>
      <c r="Z532">
        <f t="shared" si="81"/>
        <v>5</v>
      </c>
    </row>
    <row r="533" spans="1:26" ht="15.75" customHeight="1" x14ac:dyDescent="0.3">
      <c r="A533" s="2" t="s">
        <v>1329</v>
      </c>
      <c r="B533" s="2" t="s">
        <v>1330</v>
      </c>
      <c r="C533" s="2" t="s">
        <v>37</v>
      </c>
      <c r="D533" s="2" t="s">
        <v>19</v>
      </c>
      <c r="E533" s="2" t="s">
        <v>32</v>
      </c>
      <c r="F533" s="2">
        <v>10</v>
      </c>
      <c r="G533" s="2">
        <v>4125.37</v>
      </c>
      <c r="H533" s="2">
        <v>41253.699999999997</v>
      </c>
      <c r="I533" s="2">
        <v>20947.61</v>
      </c>
      <c r="J533" s="2">
        <v>20306.09</v>
      </c>
      <c r="K533" s="3">
        <v>46160</v>
      </c>
      <c r="L533" s="3">
        <v>46164</v>
      </c>
      <c r="M533" s="2" t="s">
        <v>38</v>
      </c>
      <c r="N533" s="2">
        <v>3</v>
      </c>
      <c r="O533" s="2" t="s">
        <v>308</v>
      </c>
      <c r="P533" s="25">
        <v>6.2</v>
      </c>
      <c r="Q533" t="str">
        <f t="shared" si="73"/>
        <v>0532</v>
      </c>
      <c r="R533" t="str">
        <f>IF('RETAIL SALES DATA.'!H533&gt;AVERAGE('RETAIL SALES DATA.'!H533:H1532),"HIGHEST VALUE","LOWEST VALUE")</f>
        <v>HIGHEST VALUE</v>
      </c>
      <c r="S533" t="str">
        <f t="shared" si="74"/>
        <v>Profit</v>
      </c>
      <c r="T533" t="str">
        <f t="shared" si="75"/>
        <v>Eugene Hall Md</v>
      </c>
      <c r="U533" t="str">
        <f t="shared" si="76"/>
        <v>Marker</v>
      </c>
      <c r="V533">
        <f t="shared" si="77"/>
        <v>2026</v>
      </c>
      <c r="W533">
        <f t="shared" si="78"/>
        <v>5</v>
      </c>
      <c r="X533">
        <f t="shared" si="79"/>
        <v>18</v>
      </c>
      <c r="Y533" t="str">
        <f t="shared" si="80"/>
        <v>May</v>
      </c>
      <c r="Z533">
        <f t="shared" si="81"/>
        <v>4</v>
      </c>
    </row>
    <row r="534" spans="1:26" ht="15.75" customHeight="1" x14ac:dyDescent="0.3">
      <c r="A534" s="2" t="s">
        <v>1331</v>
      </c>
      <c r="B534" s="2" t="s">
        <v>1332</v>
      </c>
      <c r="C534" s="2" t="s">
        <v>195</v>
      </c>
      <c r="D534" s="2" t="s">
        <v>43</v>
      </c>
      <c r="E534" s="2" t="s">
        <v>32</v>
      </c>
      <c r="F534" s="2">
        <v>12</v>
      </c>
      <c r="G534" s="2">
        <v>4300.24</v>
      </c>
      <c r="H534" s="2">
        <v>51602.879999999997</v>
      </c>
      <c r="I534" s="2">
        <v>42332.32</v>
      </c>
      <c r="J534" s="2">
        <v>9270.56</v>
      </c>
      <c r="K534" s="3">
        <v>45612</v>
      </c>
      <c r="L534" s="3">
        <v>45614</v>
      </c>
      <c r="M534" s="2" t="s">
        <v>26</v>
      </c>
      <c r="N534" s="2">
        <v>2</v>
      </c>
      <c r="O534" s="2" t="s">
        <v>839</v>
      </c>
      <c r="P534" s="25">
        <v>7.4</v>
      </c>
      <c r="Q534" t="str">
        <f t="shared" si="73"/>
        <v>0533</v>
      </c>
      <c r="R534" t="str">
        <f>IF('RETAIL SALES DATA.'!H534&gt;AVERAGE('RETAIL SALES DATA.'!H534:H1533),"HIGHEST VALUE","LOWEST VALUE")</f>
        <v>HIGHEST VALUE</v>
      </c>
      <c r="S534" t="str">
        <f t="shared" si="74"/>
        <v>Profit</v>
      </c>
      <c r="T534" t="str">
        <f t="shared" si="75"/>
        <v>Alan Chavez Md</v>
      </c>
      <c r="U534" t="str">
        <f t="shared" si="76"/>
        <v>Monitor</v>
      </c>
      <c r="V534">
        <f t="shared" si="77"/>
        <v>2024</v>
      </c>
      <c r="W534">
        <f t="shared" si="78"/>
        <v>11</v>
      </c>
      <c r="X534">
        <f t="shared" si="79"/>
        <v>16</v>
      </c>
      <c r="Y534" t="str">
        <f t="shared" si="80"/>
        <v>Nov</v>
      </c>
      <c r="Z534">
        <f t="shared" si="81"/>
        <v>2</v>
      </c>
    </row>
    <row r="535" spans="1:26" ht="15.75" customHeight="1" x14ac:dyDescent="0.3">
      <c r="A535" s="2" t="s">
        <v>1333</v>
      </c>
      <c r="B535" s="2" t="s">
        <v>1334</v>
      </c>
      <c r="C535" s="2" t="s">
        <v>219</v>
      </c>
      <c r="D535" s="2" t="s">
        <v>43</v>
      </c>
      <c r="E535" s="2" t="s">
        <v>25</v>
      </c>
      <c r="F535" s="2">
        <v>11</v>
      </c>
      <c r="G535" s="2">
        <v>3925.38</v>
      </c>
      <c r="H535" s="2">
        <v>43179.18</v>
      </c>
      <c r="I535" s="2">
        <v>36695.51</v>
      </c>
      <c r="J535" s="2">
        <v>6483.67</v>
      </c>
      <c r="K535" s="3">
        <v>45521</v>
      </c>
      <c r="L535" s="3">
        <v>45526</v>
      </c>
      <c r="M535" s="2" t="s">
        <v>123</v>
      </c>
      <c r="N535" s="2">
        <v>5</v>
      </c>
      <c r="O535" s="2" t="s">
        <v>120</v>
      </c>
      <c r="P535" s="25">
        <v>9.1</v>
      </c>
      <c r="Q535" t="str">
        <f t="shared" si="73"/>
        <v>0534</v>
      </c>
      <c r="R535" t="str">
        <f>IF('RETAIL SALES DATA.'!H535&gt;AVERAGE('RETAIL SALES DATA.'!H535:H1534),"HIGHEST VALUE","LOWEST VALUE")</f>
        <v>HIGHEST VALUE</v>
      </c>
      <c r="S535" t="str">
        <f t="shared" si="74"/>
        <v>Profit</v>
      </c>
      <c r="T535" t="str">
        <f t="shared" si="75"/>
        <v>Daniel Hudson</v>
      </c>
      <c r="U535" t="str">
        <f t="shared" si="76"/>
        <v>Smartphone</v>
      </c>
      <c r="V535">
        <f t="shared" si="77"/>
        <v>2024</v>
      </c>
      <c r="W535">
        <f t="shared" si="78"/>
        <v>8</v>
      </c>
      <c r="X535">
        <f t="shared" si="79"/>
        <v>17</v>
      </c>
      <c r="Y535" t="str">
        <f t="shared" si="80"/>
        <v>Aug</v>
      </c>
      <c r="Z535">
        <f t="shared" si="81"/>
        <v>5</v>
      </c>
    </row>
    <row r="536" spans="1:26" ht="15.75" customHeight="1" x14ac:dyDescent="0.3">
      <c r="A536" s="2" t="s">
        <v>1335</v>
      </c>
      <c r="B536" s="2" t="s">
        <v>1336</v>
      </c>
      <c r="C536" s="2" t="s">
        <v>95</v>
      </c>
      <c r="D536" s="2" t="s">
        <v>19</v>
      </c>
      <c r="E536" s="2" t="s">
        <v>32</v>
      </c>
      <c r="F536" s="2">
        <v>18</v>
      </c>
      <c r="G536" s="2">
        <v>852.78</v>
      </c>
      <c r="H536" s="2">
        <v>15350.04</v>
      </c>
      <c r="I536" s="2">
        <v>11629.56</v>
      </c>
      <c r="J536" s="2">
        <v>3720.48</v>
      </c>
      <c r="K536" s="3">
        <v>45652</v>
      </c>
      <c r="L536" s="3">
        <v>45661</v>
      </c>
      <c r="M536" s="2" t="s">
        <v>26</v>
      </c>
      <c r="N536" s="2">
        <v>3</v>
      </c>
      <c r="O536" s="2" t="s">
        <v>46</v>
      </c>
      <c r="P536" s="25">
        <v>7.2</v>
      </c>
      <c r="Q536" t="str">
        <f t="shared" si="73"/>
        <v>0535</v>
      </c>
      <c r="R536" t="str">
        <f>IF('RETAIL SALES DATA.'!H536&gt;AVERAGE('RETAIL SALES DATA.'!H536:H1535),"HIGHEST VALUE","LOWEST VALUE")</f>
        <v>LOWEST VALUE</v>
      </c>
      <c r="S536" t="str">
        <f t="shared" si="74"/>
        <v>Profit</v>
      </c>
      <c r="T536" t="str">
        <f t="shared" si="75"/>
        <v>Tammy Cameron</v>
      </c>
      <c r="U536" t="str">
        <f t="shared" si="76"/>
        <v>Printer</v>
      </c>
      <c r="V536">
        <f t="shared" si="77"/>
        <v>2024</v>
      </c>
      <c r="W536">
        <f t="shared" si="78"/>
        <v>1</v>
      </c>
      <c r="X536">
        <f t="shared" si="79"/>
        <v>26</v>
      </c>
      <c r="Y536" t="str">
        <f t="shared" si="80"/>
        <v>Dec</v>
      </c>
      <c r="Z536">
        <f t="shared" si="81"/>
        <v>9</v>
      </c>
    </row>
    <row r="537" spans="1:26" ht="15.75" customHeight="1" x14ac:dyDescent="0.3">
      <c r="A537" s="2" t="s">
        <v>1337</v>
      </c>
      <c r="B537" s="2" t="s">
        <v>1338</v>
      </c>
      <c r="C537" s="2" t="s">
        <v>18</v>
      </c>
      <c r="D537" s="2" t="s">
        <v>19</v>
      </c>
      <c r="E537" s="2" t="s">
        <v>25</v>
      </c>
      <c r="F537" s="2">
        <v>9</v>
      </c>
      <c r="G537" s="2">
        <v>1088.5</v>
      </c>
      <c r="H537" s="2">
        <v>9796.5</v>
      </c>
      <c r="I537" s="2">
        <v>6399.68</v>
      </c>
      <c r="J537" s="2">
        <v>3396.82</v>
      </c>
      <c r="K537" s="3">
        <v>45805</v>
      </c>
      <c r="L537" s="3">
        <v>45808</v>
      </c>
      <c r="M537" s="2" t="s">
        <v>38</v>
      </c>
      <c r="N537" s="2">
        <v>1</v>
      </c>
      <c r="O537" s="2" t="s">
        <v>205</v>
      </c>
      <c r="P537" s="25">
        <v>9.5</v>
      </c>
      <c r="Q537" t="str">
        <f t="shared" si="73"/>
        <v>0536</v>
      </c>
      <c r="R537" t="str">
        <f>IF('RETAIL SALES DATA.'!H537&gt;AVERAGE('RETAIL SALES DATA.'!H537:H1536),"HIGHEST VALUE","LOWEST VALUE")</f>
        <v>LOWEST VALUE</v>
      </c>
      <c r="S537" t="str">
        <f t="shared" si="74"/>
        <v>Profit</v>
      </c>
      <c r="T537" t="str">
        <f t="shared" si="75"/>
        <v>Robert Young</v>
      </c>
      <c r="U537" t="str">
        <f t="shared" si="76"/>
        <v>Pen</v>
      </c>
      <c r="V537">
        <f t="shared" si="77"/>
        <v>2025</v>
      </c>
      <c r="W537">
        <f t="shared" si="78"/>
        <v>5</v>
      </c>
      <c r="X537">
        <f t="shared" si="79"/>
        <v>28</v>
      </c>
      <c r="Y537" t="str">
        <f t="shared" si="80"/>
        <v>May</v>
      </c>
      <c r="Z537">
        <f t="shared" si="81"/>
        <v>3</v>
      </c>
    </row>
    <row r="538" spans="1:26" ht="15.75" customHeight="1" x14ac:dyDescent="0.3">
      <c r="A538" s="2" t="s">
        <v>1339</v>
      </c>
      <c r="B538" s="2" t="s">
        <v>1340</v>
      </c>
      <c r="C538" s="2" t="s">
        <v>49</v>
      </c>
      <c r="D538" s="2" t="s">
        <v>43</v>
      </c>
      <c r="E538" s="2" t="s">
        <v>25</v>
      </c>
      <c r="F538" s="2">
        <v>9</v>
      </c>
      <c r="G538" s="2">
        <v>4844.88</v>
      </c>
      <c r="H538" s="2">
        <v>43603.92</v>
      </c>
      <c r="I538" s="2">
        <v>33715.4</v>
      </c>
      <c r="J538" s="2">
        <v>9888.52</v>
      </c>
      <c r="K538" s="3">
        <v>45603</v>
      </c>
      <c r="L538" s="3">
        <v>45607</v>
      </c>
      <c r="M538" s="2" t="s">
        <v>123</v>
      </c>
      <c r="N538" s="2">
        <v>3</v>
      </c>
      <c r="O538" s="2" t="s">
        <v>1341</v>
      </c>
      <c r="P538" s="25">
        <v>6.6</v>
      </c>
      <c r="Q538" t="str">
        <f t="shared" si="73"/>
        <v>0537</v>
      </c>
      <c r="R538" t="str">
        <f>IF('RETAIL SALES DATA.'!H538&gt;AVERAGE('RETAIL SALES DATA.'!H538:H1537),"HIGHEST VALUE","LOWEST VALUE")</f>
        <v>HIGHEST VALUE</v>
      </c>
      <c r="S538" t="str">
        <f t="shared" si="74"/>
        <v>Profit</v>
      </c>
      <c r="T538" t="str">
        <f t="shared" si="75"/>
        <v>Sandra Andrews</v>
      </c>
      <c r="U538" t="str">
        <f t="shared" si="76"/>
        <v>Mouse</v>
      </c>
      <c r="V538">
        <f t="shared" si="77"/>
        <v>2024</v>
      </c>
      <c r="W538">
        <f t="shared" si="78"/>
        <v>11</v>
      </c>
      <c r="X538">
        <f t="shared" si="79"/>
        <v>7</v>
      </c>
      <c r="Y538" t="str">
        <f t="shared" si="80"/>
        <v>Nov</v>
      </c>
      <c r="Z538">
        <f t="shared" si="81"/>
        <v>4</v>
      </c>
    </row>
    <row r="539" spans="1:26" ht="15.75" customHeight="1" x14ac:dyDescent="0.3">
      <c r="A539" s="2" t="s">
        <v>1342</v>
      </c>
      <c r="B539" s="2" t="s">
        <v>1343</v>
      </c>
      <c r="C539" s="2" t="s">
        <v>219</v>
      </c>
      <c r="D539" s="2" t="s">
        <v>43</v>
      </c>
      <c r="E539" s="2" t="s">
        <v>32</v>
      </c>
      <c r="F539" s="2">
        <v>18</v>
      </c>
      <c r="G539" s="2">
        <v>1257.4000000000001</v>
      </c>
      <c r="H539" s="2">
        <v>22633.200000000001</v>
      </c>
      <c r="I539" s="2">
        <v>19562.330000000002</v>
      </c>
      <c r="J539" s="2">
        <v>3070.87</v>
      </c>
      <c r="K539" s="3">
        <v>45453</v>
      </c>
      <c r="L539" s="3">
        <v>45456</v>
      </c>
      <c r="M539" s="2" t="s">
        <v>50</v>
      </c>
      <c r="N539" s="2">
        <v>4</v>
      </c>
      <c r="O539" s="2" t="s">
        <v>452</v>
      </c>
      <c r="P539" s="25">
        <v>8.6</v>
      </c>
      <c r="Q539" t="str">
        <f t="shared" si="73"/>
        <v>0538</v>
      </c>
      <c r="R539" t="str">
        <f>IF('RETAIL SALES DATA.'!H539&gt;AVERAGE('RETAIL SALES DATA.'!H539:H1538),"HIGHEST VALUE","LOWEST VALUE")</f>
        <v>LOWEST VALUE</v>
      </c>
      <c r="S539" t="str">
        <f t="shared" si="74"/>
        <v>Profit</v>
      </c>
      <c r="T539" t="str">
        <f t="shared" si="75"/>
        <v>April Diaz</v>
      </c>
      <c r="U539" t="str">
        <f t="shared" si="76"/>
        <v>Smartphone</v>
      </c>
      <c r="V539">
        <f t="shared" si="77"/>
        <v>2024</v>
      </c>
      <c r="W539">
        <f t="shared" si="78"/>
        <v>6</v>
      </c>
      <c r="X539">
        <f t="shared" si="79"/>
        <v>10</v>
      </c>
      <c r="Y539" t="str">
        <f t="shared" si="80"/>
        <v>Jun</v>
      </c>
      <c r="Z539">
        <f t="shared" si="81"/>
        <v>3</v>
      </c>
    </row>
    <row r="540" spans="1:26" ht="15.75" customHeight="1" x14ac:dyDescent="0.3">
      <c r="A540" s="2" t="s">
        <v>1344</v>
      </c>
      <c r="B540" s="2" t="s">
        <v>1345</v>
      </c>
      <c r="C540" s="2" t="s">
        <v>195</v>
      </c>
      <c r="D540" s="2" t="s">
        <v>43</v>
      </c>
      <c r="E540" s="2" t="s">
        <v>20</v>
      </c>
      <c r="F540" s="2">
        <v>19</v>
      </c>
      <c r="G540" s="2">
        <v>2674.65</v>
      </c>
      <c r="H540" s="2">
        <v>50818.35</v>
      </c>
      <c r="I540" s="2">
        <v>31772.400000000001</v>
      </c>
      <c r="J540" s="2">
        <v>19045.95</v>
      </c>
      <c r="K540" s="3">
        <v>45547</v>
      </c>
      <c r="L540" s="3">
        <v>45550</v>
      </c>
      <c r="M540" s="2" t="s">
        <v>45</v>
      </c>
      <c r="N540" s="2">
        <v>3</v>
      </c>
      <c r="O540" s="2" t="s">
        <v>446</v>
      </c>
      <c r="P540" s="25">
        <v>9</v>
      </c>
      <c r="Q540" t="str">
        <f t="shared" si="73"/>
        <v>0539</v>
      </c>
      <c r="R540" t="str">
        <f>IF('RETAIL SALES DATA.'!H540&gt;AVERAGE('RETAIL SALES DATA.'!H540:H1539),"HIGHEST VALUE","LOWEST VALUE")</f>
        <v>HIGHEST VALUE</v>
      </c>
      <c r="S540" t="str">
        <f t="shared" si="74"/>
        <v>Profit</v>
      </c>
      <c r="T540" t="str">
        <f t="shared" si="75"/>
        <v>Mr. Peter Williams</v>
      </c>
      <c r="U540" t="str">
        <f t="shared" si="76"/>
        <v>Monitor</v>
      </c>
      <c r="V540">
        <f t="shared" si="77"/>
        <v>2024</v>
      </c>
      <c r="W540">
        <f t="shared" si="78"/>
        <v>9</v>
      </c>
      <c r="X540">
        <f t="shared" si="79"/>
        <v>12</v>
      </c>
      <c r="Y540" t="str">
        <f t="shared" si="80"/>
        <v>Sep</v>
      </c>
      <c r="Z540">
        <f t="shared" si="81"/>
        <v>3</v>
      </c>
    </row>
    <row r="541" spans="1:26" ht="15.75" customHeight="1" x14ac:dyDescent="0.3">
      <c r="A541" s="2" t="s">
        <v>1346</v>
      </c>
      <c r="B541" s="2" t="s">
        <v>1347</v>
      </c>
      <c r="C541" s="2" t="s">
        <v>42</v>
      </c>
      <c r="D541" s="2" t="s">
        <v>43</v>
      </c>
      <c r="E541" s="2" t="s">
        <v>44</v>
      </c>
      <c r="F541" s="2">
        <v>7</v>
      </c>
      <c r="G541" s="2">
        <v>4860.18</v>
      </c>
      <c r="H541" s="2">
        <v>34021.26</v>
      </c>
      <c r="I541" s="2">
        <v>22456.63</v>
      </c>
      <c r="J541" s="2">
        <v>11564.63</v>
      </c>
      <c r="K541" s="3">
        <v>45835</v>
      </c>
      <c r="L541" s="3">
        <v>45838</v>
      </c>
      <c r="M541" s="2" t="s">
        <v>21</v>
      </c>
      <c r="N541" s="2">
        <v>2</v>
      </c>
      <c r="O541" s="2" t="s">
        <v>251</v>
      </c>
      <c r="P541" s="25">
        <v>7.6</v>
      </c>
      <c r="Q541" t="str">
        <f t="shared" si="73"/>
        <v>0540</v>
      </c>
      <c r="R541" t="str">
        <f>IF('RETAIL SALES DATA.'!H541&gt;AVERAGE('RETAIL SALES DATA.'!H541:H1540),"HIGHEST VALUE","LOWEST VALUE")</f>
        <v>HIGHEST VALUE</v>
      </c>
      <c r="S541" t="str">
        <f t="shared" si="74"/>
        <v>Profit</v>
      </c>
      <c r="T541" t="str">
        <f t="shared" si="75"/>
        <v>Brian Smith</v>
      </c>
      <c r="U541" t="str">
        <f t="shared" si="76"/>
        <v>Laptop</v>
      </c>
      <c r="V541">
        <f t="shared" si="77"/>
        <v>2025</v>
      </c>
      <c r="W541">
        <f t="shared" si="78"/>
        <v>6</v>
      </c>
      <c r="X541">
        <f t="shared" si="79"/>
        <v>27</v>
      </c>
      <c r="Y541" t="str">
        <f t="shared" si="80"/>
        <v>Jun</v>
      </c>
      <c r="Z541">
        <f t="shared" si="81"/>
        <v>3</v>
      </c>
    </row>
    <row r="542" spans="1:26" ht="15.75" customHeight="1" x14ac:dyDescent="0.3">
      <c r="A542" s="2" t="s">
        <v>1348</v>
      </c>
      <c r="B542" s="2" t="s">
        <v>1349</v>
      </c>
      <c r="C542" s="2" t="s">
        <v>49</v>
      </c>
      <c r="D542" s="2" t="s">
        <v>43</v>
      </c>
      <c r="E542" s="2" t="s">
        <v>44</v>
      </c>
      <c r="F542" s="2">
        <v>9</v>
      </c>
      <c r="G542" s="2">
        <v>1899.23</v>
      </c>
      <c r="H542" s="2">
        <v>17093.07</v>
      </c>
      <c r="I542" s="2">
        <v>10839.99</v>
      </c>
      <c r="J542" s="2">
        <v>6253.08</v>
      </c>
      <c r="K542" s="3">
        <v>45928</v>
      </c>
      <c r="L542" s="3">
        <v>45929</v>
      </c>
      <c r="M542" s="2" t="s">
        <v>181</v>
      </c>
      <c r="N542" s="2">
        <v>4</v>
      </c>
      <c r="O542" s="2" t="s">
        <v>105</v>
      </c>
      <c r="P542" s="25">
        <v>9.1</v>
      </c>
      <c r="Q542" t="str">
        <f t="shared" si="73"/>
        <v>0541</v>
      </c>
      <c r="R542" t="str">
        <f>IF('RETAIL SALES DATA.'!H542&gt;AVERAGE('RETAIL SALES DATA.'!H542:H1541),"HIGHEST VALUE","LOWEST VALUE")</f>
        <v>LOWEST VALUE</v>
      </c>
      <c r="S542" t="str">
        <f t="shared" si="74"/>
        <v>Profit</v>
      </c>
      <c r="T542" t="str">
        <f t="shared" si="75"/>
        <v>Jimmy Rivera</v>
      </c>
      <c r="U542" t="str">
        <f t="shared" si="76"/>
        <v>Mouse</v>
      </c>
      <c r="V542">
        <f t="shared" si="77"/>
        <v>2025</v>
      </c>
      <c r="W542">
        <f t="shared" si="78"/>
        <v>9</v>
      </c>
      <c r="X542">
        <f t="shared" si="79"/>
        <v>28</v>
      </c>
      <c r="Y542" t="str">
        <f t="shared" si="80"/>
        <v>Sep</v>
      </c>
      <c r="Z542">
        <f t="shared" si="81"/>
        <v>1</v>
      </c>
    </row>
    <row r="543" spans="1:26" ht="15.75" customHeight="1" x14ac:dyDescent="0.3">
      <c r="A543" s="2" t="s">
        <v>1350</v>
      </c>
      <c r="B543" s="2" t="s">
        <v>1351</v>
      </c>
      <c r="C543" s="2" t="s">
        <v>57</v>
      </c>
      <c r="D543" s="2" t="s">
        <v>19</v>
      </c>
      <c r="E543" s="2" t="s">
        <v>32</v>
      </c>
      <c r="F543" s="2">
        <v>3</v>
      </c>
      <c r="G543" s="2">
        <v>4862.25</v>
      </c>
      <c r="H543" s="2">
        <v>14586.75</v>
      </c>
      <c r="I543" s="2">
        <v>10055.27</v>
      </c>
      <c r="J543" s="2">
        <v>4531.4799999999996</v>
      </c>
      <c r="K543" s="3">
        <v>45948</v>
      </c>
      <c r="L543" s="3">
        <v>45950</v>
      </c>
      <c r="M543" s="2" t="s">
        <v>45</v>
      </c>
      <c r="N543" s="2">
        <v>1</v>
      </c>
      <c r="O543" s="2" t="s">
        <v>187</v>
      </c>
      <c r="P543" s="25">
        <v>7.6</v>
      </c>
      <c r="Q543" t="str">
        <f t="shared" si="73"/>
        <v>0542</v>
      </c>
      <c r="R543" t="str">
        <f>IF('RETAIL SALES DATA.'!H543&gt;AVERAGE('RETAIL SALES DATA.'!H543:H1542),"HIGHEST VALUE","LOWEST VALUE")</f>
        <v>LOWEST VALUE</v>
      </c>
      <c r="S543" t="str">
        <f t="shared" si="74"/>
        <v>Profit</v>
      </c>
      <c r="T543" t="str">
        <f t="shared" si="75"/>
        <v>Katrina Boyd</v>
      </c>
      <c r="U543" t="str">
        <f t="shared" si="76"/>
        <v>Notebook</v>
      </c>
      <c r="V543">
        <f t="shared" si="77"/>
        <v>2025</v>
      </c>
      <c r="W543">
        <f t="shared" si="78"/>
        <v>10</v>
      </c>
      <c r="X543">
        <f t="shared" si="79"/>
        <v>18</v>
      </c>
      <c r="Y543" t="str">
        <f t="shared" si="80"/>
        <v>Oct</v>
      </c>
      <c r="Z543">
        <f t="shared" si="81"/>
        <v>2</v>
      </c>
    </row>
    <row r="544" spans="1:26" ht="15.75" customHeight="1" x14ac:dyDescent="0.3">
      <c r="A544" s="2" t="s">
        <v>1352</v>
      </c>
      <c r="B544" s="2" t="s">
        <v>1353</v>
      </c>
      <c r="C544" s="2" t="s">
        <v>144</v>
      </c>
      <c r="D544" s="2" t="s">
        <v>19</v>
      </c>
      <c r="E544" s="2" t="s">
        <v>32</v>
      </c>
      <c r="F544" s="2">
        <v>7</v>
      </c>
      <c r="G544" s="2">
        <v>2980.79</v>
      </c>
      <c r="H544" s="2">
        <v>20865.53</v>
      </c>
      <c r="I544" s="2">
        <v>15361.25</v>
      </c>
      <c r="J544" s="2">
        <v>5504.28</v>
      </c>
      <c r="K544" s="3">
        <v>46080</v>
      </c>
      <c r="L544" s="3">
        <v>46084</v>
      </c>
      <c r="M544" s="2" t="s">
        <v>58</v>
      </c>
      <c r="N544" s="2">
        <v>3</v>
      </c>
      <c r="O544" s="2" t="s">
        <v>391</v>
      </c>
      <c r="P544" s="25">
        <v>7.3</v>
      </c>
      <c r="Q544" t="str">
        <f t="shared" si="73"/>
        <v>0543</v>
      </c>
      <c r="R544" t="str">
        <f>IF('RETAIL SALES DATA.'!H544&gt;AVERAGE('RETAIL SALES DATA.'!H544:H1543),"HIGHEST VALUE","LOWEST VALUE")</f>
        <v>LOWEST VALUE</v>
      </c>
      <c r="S544" t="str">
        <f t="shared" si="74"/>
        <v>Profit</v>
      </c>
      <c r="T544" t="str">
        <f t="shared" si="75"/>
        <v>Nathaniel Brooks</v>
      </c>
      <c r="U544" t="str">
        <f t="shared" si="76"/>
        <v>File</v>
      </c>
      <c r="V544">
        <f t="shared" si="77"/>
        <v>2026</v>
      </c>
      <c r="W544">
        <f t="shared" si="78"/>
        <v>3</v>
      </c>
      <c r="X544">
        <f t="shared" si="79"/>
        <v>27</v>
      </c>
      <c r="Y544" t="str">
        <f t="shared" si="80"/>
        <v>Feb</v>
      </c>
      <c r="Z544">
        <f t="shared" si="81"/>
        <v>4</v>
      </c>
    </row>
    <row r="545" spans="1:26" ht="15.75" customHeight="1" x14ac:dyDescent="0.3">
      <c r="A545" s="2" t="s">
        <v>1354</v>
      </c>
      <c r="B545" s="2" t="s">
        <v>1355</v>
      </c>
      <c r="C545" s="2" t="s">
        <v>57</v>
      </c>
      <c r="D545" s="2" t="s">
        <v>19</v>
      </c>
      <c r="E545" s="2" t="s">
        <v>25</v>
      </c>
      <c r="F545" s="2">
        <v>9</v>
      </c>
      <c r="G545" s="2">
        <v>3212.53</v>
      </c>
      <c r="H545" s="2">
        <v>28912.77</v>
      </c>
      <c r="I545" s="2">
        <v>21074.17</v>
      </c>
      <c r="J545" s="2">
        <v>7838.6</v>
      </c>
      <c r="K545" s="3">
        <v>45846</v>
      </c>
      <c r="L545" s="3">
        <v>45855</v>
      </c>
      <c r="M545" s="2" t="s">
        <v>21</v>
      </c>
      <c r="N545" s="2">
        <v>3</v>
      </c>
      <c r="O545" s="2" t="s">
        <v>998</v>
      </c>
      <c r="P545" s="25">
        <v>7.6</v>
      </c>
      <c r="Q545" t="str">
        <f t="shared" si="73"/>
        <v>0544</v>
      </c>
      <c r="R545" t="str">
        <f>IF('RETAIL SALES DATA.'!H545&gt;AVERAGE('RETAIL SALES DATA.'!H545:H1544),"HIGHEST VALUE","LOWEST VALUE")</f>
        <v>HIGHEST VALUE</v>
      </c>
      <c r="S545" t="str">
        <f t="shared" si="74"/>
        <v>Profit</v>
      </c>
      <c r="T545" t="str">
        <f t="shared" si="75"/>
        <v>Karen Owens</v>
      </c>
      <c r="U545" t="str">
        <f t="shared" si="76"/>
        <v>Notebook</v>
      </c>
      <c r="V545">
        <f t="shared" si="77"/>
        <v>2025</v>
      </c>
      <c r="W545">
        <f t="shared" si="78"/>
        <v>7</v>
      </c>
      <c r="X545">
        <f t="shared" si="79"/>
        <v>8</v>
      </c>
      <c r="Y545" t="str">
        <f t="shared" si="80"/>
        <v>Jul</v>
      </c>
      <c r="Z545">
        <f t="shared" si="81"/>
        <v>9</v>
      </c>
    </row>
    <row r="546" spans="1:26" ht="15.75" customHeight="1" x14ac:dyDescent="0.3">
      <c r="A546" s="2" t="s">
        <v>1356</v>
      </c>
      <c r="B546" s="2" t="s">
        <v>1357</v>
      </c>
      <c r="C546" s="2" t="s">
        <v>42</v>
      </c>
      <c r="D546" s="2" t="s">
        <v>43</v>
      </c>
      <c r="E546" s="2" t="s">
        <v>32</v>
      </c>
      <c r="F546" s="2">
        <v>9</v>
      </c>
      <c r="G546" s="2">
        <v>2058.8000000000002</v>
      </c>
      <c r="H546" s="2">
        <v>18529.2</v>
      </c>
      <c r="I546" s="2">
        <v>13022.14</v>
      </c>
      <c r="J546" s="2">
        <v>5507.06</v>
      </c>
      <c r="K546" s="3">
        <v>45554</v>
      </c>
      <c r="L546" s="3">
        <v>45557</v>
      </c>
      <c r="M546" s="2" t="s">
        <v>58</v>
      </c>
      <c r="N546" s="2">
        <v>1</v>
      </c>
      <c r="O546" s="2" t="s">
        <v>732</v>
      </c>
      <c r="P546" s="25">
        <v>8.1999999999999993</v>
      </c>
      <c r="Q546" t="str">
        <f t="shared" si="73"/>
        <v>0545</v>
      </c>
      <c r="R546" t="str">
        <f>IF('RETAIL SALES DATA.'!H546&gt;AVERAGE('RETAIL SALES DATA.'!H546:H1545),"HIGHEST VALUE","LOWEST VALUE")</f>
        <v>LOWEST VALUE</v>
      </c>
      <c r="S546" t="str">
        <f t="shared" si="74"/>
        <v>Profit</v>
      </c>
      <c r="T546" t="str">
        <f t="shared" si="75"/>
        <v>Zachary Underwood</v>
      </c>
      <c r="U546" t="str">
        <f t="shared" si="76"/>
        <v>Laptop</v>
      </c>
      <c r="V546">
        <f t="shared" si="77"/>
        <v>2024</v>
      </c>
      <c r="W546">
        <f t="shared" si="78"/>
        <v>9</v>
      </c>
      <c r="X546">
        <f t="shared" si="79"/>
        <v>19</v>
      </c>
      <c r="Y546" t="str">
        <f t="shared" si="80"/>
        <v>Sep</v>
      </c>
      <c r="Z546">
        <f t="shared" si="81"/>
        <v>3</v>
      </c>
    </row>
    <row r="547" spans="1:26" ht="15.75" customHeight="1" x14ac:dyDescent="0.3">
      <c r="A547" s="2" t="s">
        <v>1358</v>
      </c>
      <c r="B547" s="2" t="s">
        <v>1359</v>
      </c>
      <c r="C547" s="2" t="s">
        <v>168</v>
      </c>
      <c r="D547" s="2" t="s">
        <v>43</v>
      </c>
      <c r="E547" s="2" t="s">
        <v>44</v>
      </c>
      <c r="F547" s="2">
        <v>3</v>
      </c>
      <c r="G547" s="2">
        <v>4913.53</v>
      </c>
      <c r="H547" s="2">
        <v>14740.59</v>
      </c>
      <c r="I547" s="2">
        <v>10896.38</v>
      </c>
      <c r="J547" s="2">
        <v>3844.21</v>
      </c>
      <c r="K547" s="3">
        <v>45519</v>
      </c>
      <c r="L547" s="3">
        <v>45528</v>
      </c>
      <c r="M547" s="2" t="s">
        <v>21</v>
      </c>
      <c r="N547" s="2">
        <v>5</v>
      </c>
      <c r="O547" s="2" t="s">
        <v>1242</v>
      </c>
      <c r="P547" s="25">
        <v>7.4</v>
      </c>
      <c r="Q547" t="str">
        <f t="shared" si="73"/>
        <v>0546</v>
      </c>
      <c r="R547" t="str">
        <f>IF('RETAIL SALES DATA.'!H547&gt;AVERAGE('RETAIL SALES DATA.'!H547:H1546),"HIGHEST VALUE","LOWEST VALUE")</f>
        <v>LOWEST VALUE</v>
      </c>
      <c r="S547" t="str">
        <f t="shared" si="74"/>
        <v>Profit</v>
      </c>
      <c r="T547" t="str">
        <f t="shared" si="75"/>
        <v>James Martinez</v>
      </c>
      <c r="U547" t="str">
        <f t="shared" si="76"/>
        <v>Keyboard</v>
      </c>
      <c r="V547">
        <f t="shared" si="77"/>
        <v>2024</v>
      </c>
      <c r="W547">
        <f t="shared" si="78"/>
        <v>8</v>
      </c>
      <c r="X547">
        <f t="shared" si="79"/>
        <v>15</v>
      </c>
      <c r="Y547" t="str">
        <f t="shared" si="80"/>
        <v>Aug</v>
      </c>
      <c r="Z547">
        <f t="shared" si="81"/>
        <v>9</v>
      </c>
    </row>
    <row r="548" spans="1:26" ht="15.75" customHeight="1" x14ac:dyDescent="0.3">
      <c r="A548" s="2" t="s">
        <v>1360</v>
      </c>
      <c r="B548" s="2" t="s">
        <v>1361</v>
      </c>
      <c r="C548" s="2" t="s">
        <v>139</v>
      </c>
      <c r="D548" s="2" t="s">
        <v>31</v>
      </c>
      <c r="E548" s="2" t="s">
        <v>20</v>
      </c>
      <c r="F548" s="2">
        <v>10</v>
      </c>
      <c r="G548" s="2">
        <v>2707.3</v>
      </c>
      <c r="H548" s="2">
        <v>27073</v>
      </c>
      <c r="I548" s="2">
        <v>14147.23</v>
      </c>
      <c r="J548" s="2">
        <v>12925.77</v>
      </c>
      <c r="K548" s="3">
        <v>45963</v>
      </c>
      <c r="L548" s="3">
        <v>45965</v>
      </c>
      <c r="M548" s="2" t="s">
        <v>58</v>
      </c>
      <c r="N548" s="2">
        <v>5</v>
      </c>
      <c r="O548" s="2" t="s">
        <v>82</v>
      </c>
      <c r="P548" s="25">
        <v>7</v>
      </c>
      <c r="Q548" t="str">
        <f t="shared" si="73"/>
        <v>0547</v>
      </c>
      <c r="R548" t="str">
        <f>IF('RETAIL SALES DATA.'!H548&gt;AVERAGE('RETAIL SALES DATA.'!H548:H1547),"HIGHEST VALUE","LOWEST VALUE")</f>
        <v>HIGHEST VALUE</v>
      </c>
      <c r="S548" t="str">
        <f t="shared" si="74"/>
        <v>Profit</v>
      </c>
      <c r="T548" t="str">
        <f t="shared" si="75"/>
        <v>Douglas Palmer</v>
      </c>
      <c r="U548" t="str">
        <f t="shared" si="76"/>
        <v>Sofa</v>
      </c>
      <c r="V548">
        <f t="shared" si="77"/>
        <v>2025</v>
      </c>
      <c r="W548">
        <f t="shared" si="78"/>
        <v>11</v>
      </c>
      <c r="X548">
        <f t="shared" si="79"/>
        <v>2</v>
      </c>
      <c r="Y548" t="str">
        <f t="shared" si="80"/>
        <v>Nov</v>
      </c>
      <c r="Z548">
        <f t="shared" si="81"/>
        <v>2</v>
      </c>
    </row>
    <row r="549" spans="1:26" ht="15.75" customHeight="1" x14ac:dyDescent="0.3">
      <c r="A549" s="2" t="s">
        <v>1362</v>
      </c>
      <c r="B549" s="2" t="s">
        <v>1363</v>
      </c>
      <c r="C549" s="2" t="s">
        <v>57</v>
      </c>
      <c r="D549" s="2" t="s">
        <v>19</v>
      </c>
      <c r="E549" s="2" t="s">
        <v>25</v>
      </c>
      <c r="F549" s="2">
        <v>13</v>
      </c>
      <c r="G549" s="2">
        <v>3316.12</v>
      </c>
      <c r="H549" s="2">
        <v>43109.56</v>
      </c>
      <c r="I549" s="2">
        <v>22660.75</v>
      </c>
      <c r="J549" s="2">
        <v>20448.810000000001</v>
      </c>
      <c r="K549" s="3">
        <v>46050</v>
      </c>
      <c r="L549" s="3">
        <v>46051</v>
      </c>
      <c r="M549" s="2" t="s">
        <v>50</v>
      </c>
      <c r="N549" s="2">
        <v>2</v>
      </c>
      <c r="O549" s="2" t="s">
        <v>486</v>
      </c>
      <c r="P549" s="25">
        <v>6.8</v>
      </c>
      <c r="Q549" t="str">
        <f t="shared" si="73"/>
        <v>0548</v>
      </c>
      <c r="R549" t="str">
        <f>IF('RETAIL SALES DATA.'!H549&gt;AVERAGE('RETAIL SALES DATA.'!H549:H1548),"HIGHEST VALUE","LOWEST VALUE")</f>
        <v>HIGHEST VALUE</v>
      </c>
      <c r="S549" t="str">
        <f t="shared" si="74"/>
        <v>Profit</v>
      </c>
      <c r="T549" t="str">
        <f t="shared" si="75"/>
        <v>Samuel Peterson</v>
      </c>
      <c r="U549" t="str">
        <f t="shared" si="76"/>
        <v>Notebook</v>
      </c>
      <c r="V549">
        <f t="shared" si="77"/>
        <v>2026</v>
      </c>
      <c r="W549">
        <f t="shared" si="78"/>
        <v>1</v>
      </c>
      <c r="X549">
        <f t="shared" si="79"/>
        <v>28</v>
      </c>
      <c r="Y549" t="str">
        <f t="shared" si="80"/>
        <v>Jan</v>
      </c>
      <c r="Z549">
        <f t="shared" si="81"/>
        <v>1</v>
      </c>
    </row>
    <row r="550" spans="1:26" ht="15.75" customHeight="1" x14ac:dyDescent="0.3">
      <c r="A550" s="2" t="s">
        <v>1364</v>
      </c>
      <c r="B550" s="2" t="s">
        <v>1365</v>
      </c>
      <c r="C550" s="2" t="s">
        <v>139</v>
      </c>
      <c r="D550" s="2" t="s">
        <v>31</v>
      </c>
      <c r="E550" s="2" t="s">
        <v>20</v>
      </c>
      <c r="F550" s="2">
        <v>13</v>
      </c>
      <c r="G550" s="2">
        <v>1551.8</v>
      </c>
      <c r="H550" s="2">
        <v>20173.400000000001</v>
      </c>
      <c r="I550" s="2">
        <v>13722.47</v>
      </c>
      <c r="J550" s="2">
        <v>6450.93</v>
      </c>
      <c r="K550" s="3">
        <v>45450</v>
      </c>
      <c r="L550" s="3">
        <v>45454</v>
      </c>
      <c r="M550" s="2" t="s">
        <v>45</v>
      </c>
      <c r="N550" s="2">
        <v>1</v>
      </c>
      <c r="O550" s="2" t="s">
        <v>594</v>
      </c>
      <c r="P550" s="25">
        <v>10</v>
      </c>
      <c r="Q550" t="str">
        <f t="shared" si="73"/>
        <v>0549</v>
      </c>
      <c r="R550" t="str">
        <f>IF('RETAIL SALES DATA.'!H550&gt;AVERAGE('RETAIL SALES DATA.'!H550:H1549),"HIGHEST VALUE","LOWEST VALUE")</f>
        <v>LOWEST VALUE</v>
      </c>
      <c r="S550" t="str">
        <f t="shared" si="74"/>
        <v>Profit</v>
      </c>
      <c r="T550" t="str">
        <f t="shared" si="75"/>
        <v>Dawn Henderson</v>
      </c>
      <c r="U550" t="str">
        <f t="shared" si="76"/>
        <v>Sofa</v>
      </c>
      <c r="V550">
        <f t="shared" si="77"/>
        <v>2024</v>
      </c>
      <c r="W550">
        <f t="shared" si="78"/>
        <v>6</v>
      </c>
      <c r="X550">
        <f t="shared" si="79"/>
        <v>7</v>
      </c>
      <c r="Y550" t="str">
        <f t="shared" si="80"/>
        <v>Jun</v>
      </c>
      <c r="Z550">
        <f t="shared" si="81"/>
        <v>4</v>
      </c>
    </row>
    <row r="551" spans="1:26" ht="15.75" customHeight="1" x14ac:dyDescent="0.3">
      <c r="A551" s="2" t="s">
        <v>1366</v>
      </c>
      <c r="B551" s="2" t="s">
        <v>1367</v>
      </c>
      <c r="C551" s="2" t="s">
        <v>30</v>
      </c>
      <c r="D551" s="2" t="s">
        <v>31</v>
      </c>
      <c r="E551" s="2" t="s">
        <v>44</v>
      </c>
      <c r="F551" s="2">
        <v>5</v>
      </c>
      <c r="G551" s="2">
        <v>1581.97</v>
      </c>
      <c r="H551" s="2">
        <v>7909.85</v>
      </c>
      <c r="I551" s="2">
        <v>6298.08</v>
      </c>
      <c r="J551" s="2">
        <v>1611.77</v>
      </c>
      <c r="K551" s="3">
        <v>45469</v>
      </c>
      <c r="L551" s="3">
        <v>45472</v>
      </c>
      <c r="M551" s="2" t="s">
        <v>58</v>
      </c>
      <c r="N551" s="2">
        <v>5</v>
      </c>
      <c r="O551" s="2" t="s">
        <v>993</v>
      </c>
      <c r="P551" s="25">
        <v>7</v>
      </c>
      <c r="Q551" t="str">
        <f t="shared" si="73"/>
        <v>0550</v>
      </c>
      <c r="R551" t="str">
        <f>IF('RETAIL SALES DATA.'!H551&gt;AVERAGE('RETAIL SALES DATA.'!H551:H1550),"HIGHEST VALUE","LOWEST VALUE")</f>
        <v>LOWEST VALUE</v>
      </c>
      <c r="S551" t="str">
        <f t="shared" si="74"/>
        <v>Profit</v>
      </c>
      <c r="T551" t="str">
        <f t="shared" si="75"/>
        <v>Amber Gillespie</v>
      </c>
      <c r="U551" t="str">
        <f t="shared" si="76"/>
        <v>Desk</v>
      </c>
      <c r="V551">
        <f t="shared" si="77"/>
        <v>2024</v>
      </c>
      <c r="W551">
        <f t="shared" si="78"/>
        <v>6</v>
      </c>
      <c r="X551">
        <f t="shared" si="79"/>
        <v>26</v>
      </c>
      <c r="Y551" t="str">
        <f t="shared" si="80"/>
        <v>Jun</v>
      </c>
      <c r="Z551">
        <f t="shared" si="81"/>
        <v>3</v>
      </c>
    </row>
    <row r="552" spans="1:26" ht="15.75" customHeight="1" x14ac:dyDescent="0.3">
      <c r="A552" s="2" t="s">
        <v>1368</v>
      </c>
      <c r="B552" s="2" t="s">
        <v>1369</v>
      </c>
      <c r="C552" s="2" t="s">
        <v>42</v>
      </c>
      <c r="D552" s="2" t="s">
        <v>43</v>
      </c>
      <c r="E552" s="2" t="s">
        <v>32</v>
      </c>
      <c r="F552" s="2">
        <v>5</v>
      </c>
      <c r="G552" s="2">
        <v>4242.8900000000003</v>
      </c>
      <c r="H552" s="2">
        <v>21214.45</v>
      </c>
      <c r="I552" s="2">
        <v>13641.43</v>
      </c>
      <c r="J552" s="2">
        <v>7573.02</v>
      </c>
      <c r="K552" s="3">
        <v>46114</v>
      </c>
      <c r="L552" s="3">
        <v>46118</v>
      </c>
      <c r="M552" s="2" t="s">
        <v>58</v>
      </c>
      <c r="N552" s="2">
        <v>5</v>
      </c>
      <c r="O552" s="2" t="s">
        <v>1370</v>
      </c>
      <c r="P552" s="25">
        <v>8.1</v>
      </c>
      <c r="Q552" t="str">
        <f t="shared" si="73"/>
        <v>0551</v>
      </c>
      <c r="R552" t="str">
        <f>IF('RETAIL SALES DATA.'!H552&gt;AVERAGE('RETAIL SALES DATA.'!H552:H1551),"HIGHEST VALUE","LOWEST VALUE")</f>
        <v>LOWEST VALUE</v>
      </c>
      <c r="S552" t="str">
        <f t="shared" si="74"/>
        <v>Profit</v>
      </c>
      <c r="T552" t="str">
        <f t="shared" si="75"/>
        <v>Colton Atkins</v>
      </c>
      <c r="U552" t="str">
        <f t="shared" si="76"/>
        <v>Laptop</v>
      </c>
      <c r="V552">
        <f t="shared" si="77"/>
        <v>2026</v>
      </c>
      <c r="W552">
        <f t="shared" si="78"/>
        <v>4</v>
      </c>
      <c r="X552">
        <f t="shared" si="79"/>
        <v>2</v>
      </c>
      <c r="Y552" t="str">
        <f t="shared" si="80"/>
        <v>Apr</v>
      </c>
      <c r="Z552">
        <f t="shared" si="81"/>
        <v>4</v>
      </c>
    </row>
    <row r="553" spans="1:26" ht="15.75" customHeight="1" x14ac:dyDescent="0.3">
      <c r="A553" s="2" t="s">
        <v>1371</v>
      </c>
      <c r="B553" s="2" t="s">
        <v>1372</v>
      </c>
      <c r="C553" s="2" t="s">
        <v>49</v>
      </c>
      <c r="D553" s="2" t="s">
        <v>43</v>
      </c>
      <c r="E553" s="2" t="s">
        <v>25</v>
      </c>
      <c r="F553" s="2">
        <v>5</v>
      </c>
      <c r="G553" s="2">
        <v>1599.01</v>
      </c>
      <c r="H553" s="2">
        <v>7995.05</v>
      </c>
      <c r="I553" s="2">
        <v>5851.24</v>
      </c>
      <c r="J553" s="2">
        <v>2143.81</v>
      </c>
      <c r="K553" s="3">
        <v>45739</v>
      </c>
      <c r="L553" s="3">
        <v>45741</v>
      </c>
      <c r="M553" s="2" t="s">
        <v>58</v>
      </c>
      <c r="N553" s="2">
        <v>1</v>
      </c>
      <c r="O553" s="2" t="s">
        <v>1191</v>
      </c>
      <c r="P553" s="25">
        <v>7.7</v>
      </c>
      <c r="Q553" t="str">
        <f t="shared" si="73"/>
        <v>0552</v>
      </c>
      <c r="R553" t="str">
        <f>IF('RETAIL SALES DATA.'!H553&gt;AVERAGE('RETAIL SALES DATA.'!H553:H1552),"HIGHEST VALUE","LOWEST VALUE")</f>
        <v>LOWEST VALUE</v>
      </c>
      <c r="S553" t="str">
        <f t="shared" si="74"/>
        <v>Profit</v>
      </c>
      <c r="T553" t="str">
        <f t="shared" si="75"/>
        <v>Matthew Juarez</v>
      </c>
      <c r="U553" t="str">
        <f t="shared" si="76"/>
        <v>Mouse</v>
      </c>
      <c r="V553">
        <f t="shared" si="77"/>
        <v>2025</v>
      </c>
      <c r="W553">
        <f t="shared" si="78"/>
        <v>3</v>
      </c>
      <c r="X553">
        <f t="shared" si="79"/>
        <v>23</v>
      </c>
      <c r="Y553" t="str">
        <f t="shared" si="80"/>
        <v>Mar</v>
      </c>
      <c r="Z553">
        <f t="shared" si="81"/>
        <v>2</v>
      </c>
    </row>
    <row r="554" spans="1:26" ht="15.75" customHeight="1" x14ac:dyDescent="0.3">
      <c r="A554" s="2" t="s">
        <v>1373</v>
      </c>
      <c r="B554" s="2" t="s">
        <v>1374</v>
      </c>
      <c r="C554" s="2" t="s">
        <v>49</v>
      </c>
      <c r="D554" s="2" t="s">
        <v>43</v>
      </c>
      <c r="E554" s="2" t="s">
        <v>25</v>
      </c>
      <c r="F554" s="2">
        <v>10</v>
      </c>
      <c r="G554" s="2">
        <v>2030.97</v>
      </c>
      <c r="H554" s="2">
        <v>20309.7</v>
      </c>
      <c r="I554" s="2">
        <v>11490.74</v>
      </c>
      <c r="J554" s="2">
        <v>8818.9599999999991</v>
      </c>
      <c r="K554" s="3">
        <v>45723</v>
      </c>
      <c r="L554" s="3">
        <v>45733</v>
      </c>
      <c r="M554" s="2" t="s">
        <v>45</v>
      </c>
      <c r="N554" s="2">
        <v>1</v>
      </c>
      <c r="O554" s="2" t="s">
        <v>512</v>
      </c>
      <c r="P554" s="25">
        <v>9.3000000000000007</v>
      </c>
      <c r="Q554" t="str">
        <f t="shared" si="73"/>
        <v>0553</v>
      </c>
      <c r="R554" t="str">
        <f>IF('RETAIL SALES DATA.'!H554&gt;AVERAGE('RETAIL SALES DATA.'!H554:H1553),"HIGHEST VALUE","LOWEST VALUE")</f>
        <v>LOWEST VALUE</v>
      </c>
      <c r="S554" t="str">
        <f t="shared" si="74"/>
        <v>Profit</v>
      </c>
      <c r="T554" t="str">
        <f t="shared" si="75"/>
        <v>Nathaniel Hernandez</v>
      </c>
      <c r="U554" t="str">
        <f t="shared" si="76"/>
        <v>Mouse</v>
      </c>
      <c r="V554">
        <f t="shared" si="77"/>
        <v>2025</v>
      </c>
      <c r="W554">
        <f t="shared" si="78"/>
        <v>3</v>
      </c>
      <c r="X554">
        <f t="shared" si="79"/>
        <v>7</v>
      </c>
      <c r="Y554" t="str">
        <f t="shared" si="80"/>
        <v>Mar</v>
      </c>
      <c r="Z554">
        <f t="shared" si="81"/>
        <v>10</v>
      </c>
    </row>
    <row r="555" spans="1:26" ht="15.75" customHeight="1" x14ac:dyDescent="0.3">
      <c r="A555" s="2" t="s">
        <v>1375</v>
      </c>
      <c r="B555" s="2" t="s">
        <v>1376</v>
      </c>
      <c r="C555" s="2" t="s">
        <v>30</v>
      </c>
      <c r="D555" s="2" t="s">
        <v>31</v>
      </c>
      <c r="E555" s="2" t="s">
        <v>25</v>
      </c>
      <c r="F555" s="2">
        <v>11</v>
      </c>
      <c r="G555" s="2">
        <v>3125.61</v>
      </c>
      <c r="H555" s="2">
        <v>34381.71</v>
      </c>
      <c r="I555" s="2">
        <v>25982.65</v>
      </c>
      <c r="J555" s="2">
        <v>8399.06</v>
      </c>
      <c r="K555" s="3">
        <v>45755</v>
      </c>
      <c r="L555" s="3">
        <v>45759</v>
      </c>
      <c r="M555" s="2" t="s">
        <v>58</v>
      </c>
      <c r="N555" s="2">
        <v>5</v>
      </c>
      <c r="O555" s="2" t="s">
        <v>1377</v>
      </c>
      <c r="P555" s="25">
        <v>7.4</v>
      </c>
      <c r="Q555" t="str">
        <f t="shared" si="73"/>
        <v>0554</v>
      </c>
      <c r="R555" t="str">
        <f>IF('RETAIL SALES DATA.'!H555&gt;AVERAGE('RETAIL SALES DATA.'!H555:H1554),"HIGHEST VALUE","LOWEST VALUE")</f>
        <v>HIGHEST VALUE</v>
      </c>
      <c r="S555" t="str">
        <f t="shared" si="74"/>
        <v>Profit</v>
      </c>
      <c r="T555" t="str">
        <f t="shared" si="75"/>
        <v>Sylvia Hamilton</v>
      </c>
      <c r="U555" t="str">
        <f t="shared" si="76"/>
        <v>Desk</v>
      </c>
      <c r="V555">
        <f t="shared" si="77"/>
        <v>2025</v>
      </c>
      <c r="W555">
        <f t="shared" si="78"/>
        <v>4</v>
      </c>
      <c r="X555">
        <f t="shared" si="79"/>
        <v>8</v>
      </c>
      <c r="Y555" t="str">
        <f t="shared" si="80"/>
        <v>Apr</v>
      </c>
      <c r="Z555">
        <f t="shared" si="81"/>
        <v>4</v>
      </c>
    </row>
    <row r="556" spans="1:26" ht="15.75" customHeight="1" x14ac:dyDescent="0.3">
      <c r="A556" s="2" t="s">
        <v>1378</v>
      </c>
      <c r="B556" s="2" t="s">
        <v>1379</v>
      </c>
      <c r="C556" s="2" t="s">
        <v>168</v>
      </c>
      <c r="D556" s="2" t="s">
        <v>43</v>
      </c>
      <c r="E556" s="2" t="s">
        <v>20</v>
      </c>
      <c r="F556" s="2">
        <v>17</v>
      </c>
      <c r="G556" s="2">
        <v>3023.05</v>
      </c>
      <c r="H556" s="2">
        <v>51391.85</v>
      </c>
      <c r="I556" s="2">
        <v>35562.949999999997</v>
      </c>
      <c r="J556" s="2">
        <v>15828.9</v>
      </c>
      <c r="K556" s="3">
        <v>45732</v>
      </c>
      <c r="L556" s="3">
        <v>45739</v>
      </c>
      <c r="M556" s="2" t="s">
        <v>33</v>
      </c>
      <c r="N556" s="2">
        <v>1</v>
      </c>
      <c r="O556" s="2" t="s">
        <v>839</v>
      </c>
      <c r="P556" s="25">
        <v>8.3000000000000007</v>
      </c>
      <c r="Q556" t="str">
        <f t="shared" si="73"/>
        <v>0555</v>
      </c>
      <c r="R556" t="str">
        <f>IF('RETAIL SALES DATA.'!H556&gt;AVERAGE('RETAIL SALES DATA.'!H556:H1555),"HIGHEST VALUE","LOWEST VALUE")</f>
        <v>HIGHEST VALUE</v>
      </c>
      <c r="S556" t="str">
        <f t="shared" si="74"/>
        <v>Profit</v>
      </c>
      <c r="T556" t="str">
        <f t="shared" si="75"/>
        <v>Tara Robertson</v>
      </c>
      <c r="U556" t="str">
        <f t="shared" si="76"/>
        <v>Keyboard</v>
      </c>
      <c r="V556">
        <f t="shared" si="77"/>
        <v>2025</v>
      </c>
      <c r="W556">
        <f t="shared" si="78"/>
        <v>3</v>
      </c>
      <c r="X556">
        <f t="shared" si="79"/>
        <v>16</v>
      </c>
      <c r="Y556" t="str">
        <f t="shared" si="80"/>
        <v>Mar</v>
      </c>
      <c r="Z556">
        <f t="shared" si="81"/>
        <v>7</v>
      </c>
    </row>
    <row r="557" spans="1:26" ht="15.75" customHeight="1" x14ac:dyDescent="0.3">
      <c r="A557" s="2" t="s">
        <v>1380</v>
      </c>
      <c r="B557" s="2" t="s">
        <v>1381</v>
      </c>
      <c r="C557" s="2" t="s">
        <v>18</v>
      </c>
      <c r="D557" s="2" t="s">
        <v>19</v>
      </c>
      <c r="E557" s="2" t="s">
        <v>20</v>
      </c>
      <c r="F557" s="2">
        <v>10</v>
      </c>
      <c r="G557" s="2">
        <v>3107.55</v>
      </c>
      <c r="H557" s="2">
        <v>31075.5</v>
      </c>
      <c r="I557" s="2">
        <v>15678.28</v>
      </c>
      <c r="J557" s="2">
        <v>15397.22</v>
      </c>
      <c r="K557" s="3">
        <v>46139</v>
      </c>
      <c r="L557" s="3">
        <v>46140</v>
      </c>
      <c r="M557" s="2" t="s">
        <v>181</v>
      </c>
      <c r="N557" s="2">
        <v>5</v>
      </c>
      <c r="O557" s="2" t="s">
        <v>638</v>
      </c>
      <c r="P557" s="25">
        <v>8.4</v>
      </c>
      <c r="Q557" t="str">
        <f t="shared" si="73"/>
        <v>0556</v>
      </c>
      <c r="R557" t="str">
        <f>IF('RETAIL SALES DATA.'!H557&gt;AVERAGE('RETAIL SALES DATA.'!H557:H1556),"HIGHEST VALUE","LOWEST VALUE")</f>
        <v>HIGHEST VALUE</v>
      </c>
      <c r="S557" t="str">
        <f t="shared" si="74"/>
        <v>Profit</v>
      </c>
      <c r="T557" t="str">
        <f t="shared" si="75"/>
        <v>Sonya Park</v>
      </c>
      <c r="U557" t="str">
        <f t="shared" si="76"/>
        <v>Pen</v>
      </c>
      <c r="V557">
        <f t="shared" si="77"/>
        <v>2026</v>
      </c>
      <c r="W557">
        <f t="shared" si="78"/>
        <v>4</v>
      </c>
      <c r="X557">
        <f t="shared" si="79"/>
        <v>27</v>
      </c>
      <c r="Y557" t="str">
        <f t="shared" si="80"/>
        <v>Apr</v>
      </c>
      <c r="Z557">
        <f t="shared" si="81"/>
        <v>1</v>
      </c>
    </row>
    <row r="558" spans="1:26" ht="15.75" customHeight="1" x14ac:dyDescent="0.3">
      <c r="A558" s="2" t="s">
        <v>1382</v>
      </c>
      <c r="B558" s="2" t="s">
        <v>1383</v>
      </c>
      <c r="C558" s="2" t="s">
        <v>168</v>
      </c>
      <c r="D558" s="2" t="s">
        <v>43</v>
      </c>
      <c r="E558" s="2" t="s">
        <v>44</v>
      </c>
      <c r="F558" s="2">
        <v>5</v>
      </c>
      <c r="G558" s="2">
        <v>2387.1</v>
      </c>
      <c r="H558" s="2">
        <v>11935.5</v>
      </c>
      <c r="I558" s="2">
        <v>9522.9</v>
      </c>
      <c r="J558" s="2">
        <v>2412.6</v>
      </c>
      <c r="K558" s="3">
        <v>46115</v>
      </c>
      <c r="L558" s="3">
        <v>46118</v>
      </c>
      <c r="M558" s="2" t="s">
        <v>38</v>
      </c>
      <c r="N558" s="2">
        <v>2</v>
      </c>
      <c r="O558" s="2" t="s">
        <v>208</v>
      </c>
      <c r="P558" s="25">
        <v>9.1999999999999993</v>
      </c>
      <c r="Q558" t="str">
        <f t="shared" si="73"/>
        <v>0557</v>
      </c>
      <c r="R558" t="str">
        <f>IF('RETAIL SALES DATA.'!H558&gt;AVERAGE('RETAIL SALES DATA.'!H558:H1557),"HIGHEST VALUE","LOWEST VALUE")</f>
        <v>LOWEST VALUE</v>
      </c>
      <c r="S558" t="str">
        <f t="shared" si="74"/>
        <v>Profit</v>
      </c>
      <c r="T558" t="str">
        <f t="shared" si="75"/>
        <v>Maria Foster</v>
      </c>
      <c r="U558" t="str">
        <f t="shared" si="76"/>
        <v>Keyboard</v>
      </c>
      <c r="V558">
        <f t="shared" si="77"/>
        <v>2026</v>
      </c>
      <c r="W558">
        <f t="shared" si="78"/>
        <v>4</v>
      </c>
      <c r="X558">
        <f t="shared" si="79"/>
        <v>3</v>
      </c>
      <c r="Y558" t="str">
        <f t="shared" si="80"/>
        <v>Apr</v>
      </c>
      <c r="Z558">
        <f t="shared" si="81"/>
        <v>3</v>
      </c>
    </row>
    <row r="559" spans="1:26" ht="15.75" customHeight="1" x14ac:dyDescent="0.3">
      <c r="A559" s="2" t="s">
        <v>1384</v>
      </c>
      <c r="B559" s="2" t="s">
        <v>1385</v>
      </c>
      <c r="C559" s="2" t="s">
        <v>168</v>
      </c>
      <c r="D559" s="2" t="s">
        <v>43</v>
      </c>
      <c r="E559" s="2" t="s">
        <v>25</v>
      </c>
      <c r="F559" s="2">
        <v>18</v>
      </c>
      <c r="G559" s="2">
        <v>894.85</v>
      </c>
      <c r="H559" s="2">
        <v>16107.3</v>
      </c>
      <c r="I559" s="2">
        <v>9061.9699999999993</v>
      </c>
      <c r="J559" s="2">
        <v>7045.33</v>
      </c>
      <c r="K559" s="3">
        <v>46109</v>
      </c>
      <c r="L559" s="3">
        <v>46118</v>
      </c>
      <c r="M559" s="2" t="s">
        <v>181</v>
      </c>
      <c r="N559" s="2">
        <v>2</v>
      </c>
      <c r="O559" s="2" t="s">
        <v>108</v>
      </c>
      <c r="P559" s="25">
        <v>7.6</v>
      </c>
      <c r="Q559" t="str">
        <f t="shared" si="73"/>
        <v>0558</v>
      </c>
      <c r="R559" t="str">
        <f>IF('RETAIL SALES DATA.'!H559&gt;AVERAGE('RETAIL SALES DATA.'!H559:H1558),"HIGHEST VALUE","LOWEST VALUE")</f>
        <v>LOWEST VALUE</v>
      </c>
      <c r="S559" t="str">
        <f t="shared" si="74"/>
        <v>Profit</v>
      </c>
      <c r="T559" t="str">
        <f t="shared" si="75"/>
        <v>Parker Mitchell</v>
      </c>
      <c r="U559" t="str">
        <f t="shared" si="76"/>
        <v>Keyboard</v>
      </c>
      <c r="V559">
        <f t="shared" si="77"/>
        <v>2026</v>
      </c>
      <c r="W559">
        <f t="shared" si="78"/>
        <v>4</v>
      </c>
      <c r="X559">
        <f t="shared" si="79"/>
        <v>28</v>
      </c>
      <c r="Y559" t="str">
        <f t="shared" si="80"/>
        <v>Mar</v>
      </c>
      <c r="Z559">
        <f t="shared" si="81"/>
        <v>9</v>
      </c>
    </row>
    <row r="560" spans="1:26" ht="15.75" customHeight="1" x14ac:dyDescent="0.3">
      <c r="A560" s="2" t="s">
        <v>1386</v>
      </c>
      <c r="B560" s="2" t="s">
        <v>1387</v>
      </c>
      <c r="C560" s="2" t="s">
        <v>144</v>
      </c>
      <c r="D560" s="2" t="s">
        <v>19</v>
      </c>
      <c r="E560" s="2" t="s">
        <v>32</v>
      </c>
      <c r="F560" s="2">
        <v>15</v>
      </c>
      <c r="G560" s="2">
        <v>1793.03</v>
      </c>
      <c r="H560" s="2">
        <v>26895.45</v>
      </c>
      <c r="I560" s="2">
        <v>19545.400000000001</v>
      </c>
      <c r="J560" s="2">
        <v>7350.05</v>
      </c>
      <c r="K560" s="3">
        <v>45529</v>
      </c>
      <c r="L560" s="3">
        <v>45530</v>
      </c>
      <c r="M560" s="2" t="s">
        <v>50</v>
      </c>
      <c r="N560" s="2">
        <v>5</v>
      </c>
      <c r="O560" s="2" t="s">
        <v>378</v>
      </c>
      <c r="P560" s="25">
        <v>7</v>
      </c>
      <c r="Q560" t="str">
        <f t="shared" si="73"/>
        <v>0559</v>
      </c>
      <c r="R560" t="str">
        <f>IF('RETAIL SALES DATA.'!H560&gt;AVERAGE('RETAIL SALES DATA.'!H560:H1559),"HIGHEST VALUE","LOWEST VALUE")</f>
        <v>HIGHEST VALUE</v>
      </c>
      <c r="S560" t="str">
        <f t="shared" si="74"/>
        <v>Profit</v>
      </c>
      <c r="T560" t="str">
        <f t="shared" si="75"/>
        <v>Emily Novak</v>
      </c>
      <c r="U560" t="str">
        <f t="shared" si="76"/>
        <v>File</v>
      </c>
      <c r="V560">
        <f t="shared" si="77"/>
        <v>2024</v>
      </c>
      <c r="W560">
        <f t="shared" si="78"/>
        <v>8</v>
      </c>
      <c r="X560">
        <f t="shared" si="79"/>
        <v>25</v>
      </c>
      <c r="Y560" t="str">
        <f t="shared" si="80"/>
        <v>Aug</v>
      </c>
      <c r="Z560">
        <f t="shared" si="81"/>
        <v>1</v>
      </c>
    </row>
    <row r="561" spans="1:26" ht="15.75" customHeight="1" x14ac:dyDescent="0.3">
      <c r="A561" s="2" t="s">
        <v>1388</v>
      </c>
      <c r="B561" s="2" t="s">
        <v>1389</v>
      </c>
      <c r="C561" s="2" t="s">
        <v>219</v>
      </c>
      <c r="D561" s="2" t="s">
        <v>43</v>
      </c>
      <c r="E561" s="2" t="s">
        <v>20</v>
      </c>
      <c r="F561" s="2">
        <v>1</v>
      </c>
      <c r="G561" s="2">
        <v>710.72</v>
      </c>
      <c r="H561" s="2">
        <v>710.72</v>
      </c>
      <c r="I561" s="2">
        <v>549.22</v>
      </c>
      <c r="J561" s="2">
        <v>161.5</v>
      </c>
      <c r="K561" s="3">
        <v>45603</v>
      </c>
      <c r="L561" s="3">
        <v>45609</v>
      </c>
      <c r="M561" s="2" t="s">
        <v>33</v>
      </c>
      <c r="N561" s="2">
        <v>2</v>
      </c>
      <c r="O561" s="2" t="s">
        <v>1390</v>
      </c>
      <c r="P561" s="25">
        <v>7.6</v>
      </c>
      <c r="Q561" t="str">
        <f t="shared" si="73"/>
        <v>0560</v>
      </c>
      <c r="R561" t="str">
        <f>IF('RETAIL SALES DATA.'!H561&gt;AVERAGE('RETAIL SALES DATA.'!H561:H1560),"HIGHEST VALUE","LOWEST VALUE")</f>
        <v>LOWEST VALUE</v>
      </c>
      <c r="S561" t="str">
        <f t="shared" si="74"/>
        <v>Profit</v>
      </c>
      <c r="T561" t="str">
        <f t="shared" si="75"/>
        <v>Richard Gibson</v>
      </c>
      <c r="U561" t="str">
        <f t="shared" si="76"/>
        <v>Smartphone</v>
      </c>
      <c r="V561">
        <f t="shared" si="77"/>
        <v>2024</v>
      </c>
      <c r="W561">
        <f t="shared" si="78"/>
        <v>11</v>
      </c>
      <c r="X561">
        <f t="shared" si="79"/>
        <v>7</v>
      </c>
      <c r="Y561" t="str">
        <f t="shared" si="80"/>
        <v>Nov</v>
      </c>
      <c r="Z561">
        <f t="shared" si="81"/>
        <v>6</v>
      </c>
    </row>
    <row r="562" spans="1:26" ht="15.75" customHeight="1" x14ac:dyDescent="0.3">
      <c r="A562" s="2" t="s">
        <v>1391</v>
      </c>
      <c r="B562" s="2" t="s">
        <v>1392</v>
      </c>
      <c r="C562" s="2" t="s">
        <v>62</v>
      </c>
      <c r="D562" s="2" t="s">
        <v>31</v>
      </c>
      <c r="E562" s="2" t="s">
        <v>20</v>
      </c>
      <c r="F562" s="2">
        <v>20</v>
      </c>
      <c r="G562" s="2">
        <v>3196.57</v>
      </c>
      <c r="H562" s="2">
        <v>63931.4</v>
      </c>
      <c r="I562" s="2">
        <v>35756.15</v>
      </c>
      <c r="J562" s="2">
        <v>28175.25</v>
      </c>
      <c r="K562" s="3">
        <v>46125</v>
      </c>
      <c r="L562" s="3">
        <v>46132</v>
      </c>
      <c r="M562" s="2" t="s">
        <v>58</v>
      </c>
      <c r="N562" s="2">
        <v>1</v>
      </c>
      <c r="O562" s="2" t="s">
        <v>441</v>
      </c>
      <c r="P562" s="25">
        <v>6.8</v>
      </c>
      <c r="Q562" t="str">
        <f t="shared" si="73"/>
        <v>0561</v>
      </c>
      <c r="R562" t="str">
        <f>IF('RETAIL SALES DATA.'!H562&gt;AVERAGE('RETAIL SALES DATA.'!H562:H1561),"HIGHEST VALUE","LOWEST VALUE")</f>
        <v>HIGHEST VALUE</v>
      </c>
      <c r="S562" t="str">
        <f t="shared" si="74"/>
        <v>Profit</v>
      </c>
      <c r="T562" t="str">
        <f t="shared" si="75"/>
        <v>Joy Lewis</v>
      </c>
      <c r="U562" t="str">
        <f t="shared" si="76"/>
        <v>Table</v>
      </c>
      <c r="V562">
        <f t="shared" si="77"/>
        <v>2026</v>
      </c>
      <c r="W562">
        <f t="shared" si="78"/>
        <v>4</v>
      </c>
      <c r="X562">
        <f t="shared" si="79"/>
        <v>13</v>
      </c>
      <c r="Y562" t="str">
        <f t="shared" si="80"/>
        <v>Apr</v>
      </c>
      <c r="Z562">
        <f t="shared" si="81"/>
        <v>7</v>
      </c>
    </row>
    <row r="563" spans="1:26" ht="15.75" customHeight="1" x14ac:dyDescent="0.3">
      <c r="A563" s="2" t="s">
        <v>1393</v>
      </c>
      <c r="B563" s="2" t="s">
        <v>1394</v>
      </c>
      <c r="C563" s="2" t="s">
        <v>88</v>
      </c>
      <c r="D563" s="2" t="s">
        <v>31</v>
      </c>
      <c r="E563" s="2" t="s">
        <v>32</v>
      </c>
      <c r="F563" s="2">
        <v>3</v>
      </c>
      <c r="G563" s="2">
        <v>3779.91</v>
      </c>
      <c r="H563" s="2">
        <v>11339.73</v>
      </c>
      <c r="I563" s="2">
        <v>8786.2800000000007</v>
      </c>
      <c r="J563" s="2">
        <v>2553.4499999999998</v>
      </c>
      <c r="K563" s="3">
        <v>45462</v>
      </c>
      <c r="L563" s="3">
        <v>45470</v>
      </c>
      <c r="M563" s="2" t="s">
        <v>69</v>
      </c>
      <c r="N563" s="2">
        <v>4</v>
      </c>
      <c r="O563" s="2" t="s">
        <v>1395</v>
      </c>
      <c r="P563" s="25">
        <v>6.6</v>
      </c>
      <c r="Q563" t="str">
        <f t="shared" si="73"/>
        <v>0562</v>
      </c>
      <c r="R563" t="str">
        <f>IF('RETAIL SALES DATA.'!H563&gt;AVERAGE('RETAIL SALES DATA.'!H563:H1562),"HIGHEST VALUE","LOWEST VALUE")</f>
        <v>LOWEST VALUE</v>
      </c>
      <c r="S563" t="str">
        <f t="shared" si="74"/>
        <v>Profit</v>
      </c>
      <c r="T563" t="str">
        <f t="shared" si="75"/>
        <v>William Scott</v>
      </c>
      <c r="U563" t="str">
        <f t="shared" si="76"/>
        <v>Cupboard</v>
      </c>
      <c r="V563">
        <f t="shared" si="77"/>
        <v>2024</v>
      </c>
      <c r="W563">
        <f t="shared" si="78"/>
        <v>6</v>
      </c>
      <c r="X563">
        <f t="shared" si="79"/>
        <v>19</v>
      </c>
      <c r="Y563" t="str">
        <f t="shared" si="80"/>
        <v>Jun</v>
      </c>
      <c r="Z563">
        <f t="shared" si="81"/>
        <v>8</v>
      </c>
    </row>
    <row r="564" spans="1:26" ht="15.75" customHeight="1" x14ac:dyDescent="0.3">
      <c r="A564" s="2" t="s">
        <v>1396</v>
      </c>
      <c r="B564" s="2" t="s">
        <v>1397</v>
      </c>
      <c r="C564" s="2" t="s">
        <v>195</v>
      </c>
      <c r="D564" s="2" t="s">
        <v>43</v>
      </c>
      <c r="E564" s="2" t="s">
        <v>20</v>
      </c>
      <c r="F564" s="2">
        <v>15</v>
      </c>
      <c r="G564" s="2">
        <v>729.98</v>
      </c>
      <c r="H564" s="2">
        <v>10949.7</v>
      </c>
      <c r="I564" s="2">
        <v>8093.08</v>
      </c>
      <c r="J564" s="2">
        <v>2856.62</v>
      </c>
      <c r="K564" s="3">
        <v>46001</v>
      </c>
      <c r="L564" s="3">
        <v>46008</v>
      </c>
      <c r="M564" s="2" t="s">
        <v>58</v>
      </c>
      <c r="N564" s="2">
        <v>2</v>
      </c>
      <c r="O564" s="2" t="s">
        <v>475</v>
      </c>
      <c r="P564" s="25">
        <v>9.1999999999999993</v>
      </c>
      <c r="Q564" t="str">
        <f t="shared" si="73"/>
        <v>0563</v>
      </c>
      <c r="R564" t="str">
        <f>IF('RETAIL SALES DATA.'!H564&gt;AVERAGE('RETAIL SALES DATA.'!H564:H1563),"HIGHEST VALUE","LOWEST VALUE")</f>
        <v>LOWEST VALUE</v>
      </c>
      <c r="S564" t="str">
        <f t="shared" si="74"/>
        <v>Profit</v>
      </c>
      <c r="T564" t="str">
        <f t="shared" si="75"/>
        <v>Edward Bates</v>
      </c>
      <c r="U564" t="str">
        <f t="shared" si="76"/>
        <v>Monitor</v>
      </c>
      <c r="V564">
        <f t="shared" si="77"/>
        <v>2025</v>
      </c>
      <c r="W564">
        <f t="shared" si="78"/>
        <v>12</v>
      </c>
      <c r="X564">
        <f t="shared" si="79"/>
        <v>10</v>
      </c>
      <c r="Y564" t="str">
        <f t="shared" si="80"/>
        <v>Dec</v>
      </c>
      <c r="Z564">
        <f t="shared" si="81"/>
        <v>7</v>
      </c>
    </row>
    <row r="565" spans="1:26" ht="15.75" customHeight="1" x14ac:dyDescent="0.3">
      <c r="A565" s="2" t="s">
        <v>1398</v>
      </c>
      <c r="B565" s="2" t="s">
        <v>1399</v>
      </c>
      <c r="C565" s="2" t="s">
        <v>57</v>
      </c>
      <c r="D565" s="2" t="s">
        <v>19</v>
      </c>
      <c r="E565" s="2" t="s">
        <v>20</v>
      </c>
      <c r="F565" s="2">
        <v>7</v>
      </c>
      <c r="G565" s="2">
        <v>3123.75</v>
      </c>
      <c r="H565" s="2">
        <v>21866.25</v>
      </c>
      <c r="I565" s="2">
        <v>19526.66</v>
      </c>
      <c r="J565" s="2">
        <v>2339.59</v>
      </c>
      <c r="K565" s="3">
        <v>45709</v>
      </c>
      <c r="L565" s="3">
        <v>45711</v>
      </c>
      <c r="M565" s="2" t="s">
        <v>69</v>
      </c>
      <c r="N565" s="2">
        <v>1</v>
      </c>
      <c r="O565" s="2" t="s">
        <v>818</v>
      </c>
      <c r="P565" s="25">
        <v>6.6</v>
      </c>
      <c r="Q565" t="str">
        <f t="shared" si="73"/>
        <v>0564</v>
      </c>
      <c r="R565" t="str">
        <f>IF('RETAIL SALES DATA.'!H565&gt;AVERAGE('RETAIL SALES DATA.'!H565:H1564),"HIGHEST VALUE","LOWEST VALUE")</f>
        <v>LOWEST VALUE</v>
      </c>
      <c r="S565" t="str">
        <f t="shared" si="74"/>
        <v>Profit</v>
      </c>
      <c r="T565" t="str">
        <f t="shared" si="75"/>
        <v>Susan Navarro</v>
      </c>
      <c r="U565" t="str">
        <f t="shared" si="76"/>
        <v>Notebook</v>
      </c>
      <c r="V565">
        <f t="shared" si="77"/>
        <v>2025</v>
      </c>
      <c r="W565">
        <f t="shared" si="78"/>
        <v>2</v>
      </c>
      <c r="X565">
        <f t="shared" si="79"/>
        <v>21</v>
      </c>
      <c r="Y565" t="str">
        <f t="shared" si="80"/>
        <v>Feb</v>
      </c>
      <c r="Z565">
        <f t="shared" si="81"/>
        <v>2</v>
      </c>
    </row>
    <row r="566" spans="1:26" ht="15.75" customHeight="1" x14ac:dyDescent="0.3">
      <c r="A566" s="2" t="s">
        <v>1400</v>
      </c>
      <c r="B566" s="2" t="s">
        <v>1401</v>
      </c>
      <c r="C566" s="2" t="s">
        <v>62</v>
      </c>
      <c r="D566" s="2" t="s">
        <v>31</v>
      </c>
      <c r="E566" s="2" t="s">
        <v>44</v>
      </c>
      <c r="F566" s="2">
        <v>10</v>
      </c>
      <c r="G566" s="2">
        <v>2382.88</v>
      </c>
      <c r="H566" s="2">
        <v>23828.799999999999</v>
      </c>
      <c r="I566" s="2">
        <v>16256.18</v>
      </c>
      <c r="J566" s="2">
        <v>7572.62</v>
      </c>
      <c r="K566" s="3">
        <v>45605</v>
      </c>
      <c r="L566" s="3">
        <v>45614</v>
      </c>
      <c r="M566" s="2" t="s">
        <v>58</v>
      </c>
      <c r="N566" s="2">
        <v>5</v>
      </c>
      <c r="O566" s="2" t="s">
        <v>506</v>
      </c>
      <c r="P566" s="25">
        <v>10</v>
      </c>
      <c r="Q566" t="str">
        <f t="shared" si="73"/>
        <v>0565</v>
      </c>
      <c r="R566" t="str">
        <f>IF('RETAIL SALES DATA.'!H566&gt;AVERAGE('RETAIL SALES DATA.'!H566:H1565),"HIGHEST VALUE","LOWEST VALUE")</f>
        <v>LOWEST VALUE</v>
      </c>
      <c r="S566" t="str">
        <f t="shared" si="74"/>
        <v>Profit</v>
      </c>
      <c r="T566" t="str">
        <f t="shared" si="75"/>
        <v>Jessica Adams</v>
      </c>
      <c r="U566" t="str">
        <f t="shared" si="76"/>
        <v>Table</v>
      </c>
      <c r="V566">
        <f t="shared" si="77"/>
        <v>2024</v>
      </c>
      <c r="W566">
        <f t="shared" si="78"/>
        <v>11</v>
      </c>
      <c r="X566">
        <f t="shared" si="79"/>
        <v>9</v>
      </c>
      <c r="Y566" t="str">
        <f t="shared" si="80"/>
        <v>Nov</v>
      </c>
      <c r="Z566">
        <f t="shared" si="81"/>
        <v>9</v>
      </c>
    </row>
    <row r="567" spans="1:26" ht="15.75" customHeight="1" x14ac:dyDescent="0.3">
      <c r="A567" s="2" t="s">
        <v>1402</v>
      </c>
      <c r="B567" s="2" t="s">
        <v>1403</v>
      </c>
      <c r="C567" s="2" t="s">
        <v>42</v>
      </c>
      <c r="D567" s="2" t="s">
        <v>43</v>
      </c>
      <c r="E567" s="2" t="s">
        <v>44</v>
      </c>
      <c r="F567" s="2">
        <v>18</v>
      </c>
      <c r="G567" s="2">
        <v>719.37</v>
      </c>
      <c r="H567" s="2">
        <v>12948.66</v>
      </c>
      <c r="I567" s="2">
        <v>7229.1</v>
      </c>
      <c r="J567" s="2">
        <v>5719.56</v>
      </c>
      <c r="K567" s="3">
        <v>45522</v>
      </c>
      <c r="L567" s="3">
        <v>45532</v>
      </c>
      <c r="M567" s="2" t="s">
        <v>50</v>
      </c>
      <c r="N567" s="2">
        <v>4</v>
      </c>
      <c r="O567" s="2" t="s">
        <v>297</v>
      </c>
      <c r="P567" s="25">
        <v>8.9</v>
      </c>
      <c r="Q567" t="str">
        <f t="shared" si="73"/>
        <v>0566</v>
      </c>
      <c r="R567" t="str">
        <f>IF('RETAIL SALES DATA.'!H567&gt;AVERAGE('RETAIL SALES DATA.'!H567:H1566),"HIGHEST VALUE","LOWEST VALUE")</f>
        <v>LOWEST VALUE</v>
      </c>
      <c r="S567" t="str">
        <f t="shared" si="74"/>
        <v>Profit</v>
      </c>
      <c r="T567" t="str">
        <f t="shared" si="75"/>
        <v>Taylor Anderson</v>
      </c>
      <c r="U567" t="str">
        <f t="shared" si="76"/>
        <v>Laptop</v>
      </c>
      <c r="V567">
        <f t="shared" si="77"/>
        <v>2024</v>
      </c>
      <c r="W567">
        <f t="shared" si="78"/>
        <v>8</v>
      </c>
      <c r="X567">
        <f t="shared" si="79"/>
        <v>18</v>
      </c>
      <c r="Y567" t="str">
        <f t="shared" si="80"/>
        <v>Aug</v>
      </c>
      <c r="Z567">
        <f t="shared" si="81"/>
        <v>10</v>
      </c>
    </row>
    <row r="568" spans="1:26" ht="15.75" customHeight="1" x14ac:dyDescent="0.3">
      <c r="A568" s="2" t="s">
        <v>1404</v>
      </c>
      <c r="B568" s="2" t="s">
        <v>1405</v>
      </c>
      <c r="C568" s="2" t="s">
        <v>49</v>
      </c>
      <c r="D568" s="2" t="s">
        <v>43</v>
      </c>
      <c r="E568" s="2" t="s">
        <v>25</v>
      </c>
      <c r="F568" s="2">
        <v>19</v>
      </c>
      <c r="G568" s="2">
        <v>3182.44</v>
      </c>
      <c r="H568" s="2">
        <v>60466.36</v>
      </c>
      <c r="I568" s="2">
        <v>51510.2</v>
      </c>
      <c r="J568" s="2">
        <v>8956.16</v>
      </c>
      <c r="K568" s="3">
        <v>45903</v>
      </c>
      <c r="L568" s="3">
        <v>45907</v>
      </c>
      <c r="M568" s="2" t="s">
        <v>33</v>
      </c>
      <c r="N568" s="2">
        <v>4</v>
      </c>
      <c r="O568" s="2" t="s">
        <v>211</v>
      </c>
      <c r="P568" s="25">
        <v>9.6</v>
      </c>
      <c r="Q568" t="str">
        <f t="shared" si="73"/>
        <v>0567</v>
      </c>
      <c r="R568" t="str">
        <f>IF('RETAIL SALES DATA.'!H568&gt;AVERAGE('RETAIL SALES DATA.'!H568:H1567),"HIGHEST VALUE","LOWEST VALUE")</f>
        <v>HIGHEST VALUE</v>
      </c>
      <c r="S568" t="str">
        <f t="shared" si="74"/>
        <v>Profit</v>
      </c>
      <c r="T568" t="str">
        <f t="shared" si="75"/>
        <v>Colleen Prince</v>
      </c>
      <c r="U568" t="str">
        <f t="shared" si="76"/>
        <v>Mouse</v>
      </c>
      <c r="V568">
        <f t="shared" si="77"/>
        <v>2025</v>
      </c>
      <c r="W568">
        <f t="shared" si="78"/>
        <v>9</v>
      </c>
      <c r="X568">
        <f t="shared" si="79"/>
        <v>3</v>
      </c>
      <c r="Y568" t="str">
        <f t="shared" si="80"/>
        <v>Sep</v>
      </c>
      <c r="Z568">
        <f t="shared" si="81"/>
        <v>4</v>
      </c>
    </row>
    <row r="569" spans="1:26" ht="15.75" customHeight="1" x14ac:dyDescent="0.3">
      <c r="A569" s="2" t="s">
        <v>1406</v>
      </c>
      <c r="B569" s="2" t="s">
        <v>1407</v>
      </c>
      <c r="C569" s="2" t="s">
        <v>62</v>
      </c>
      <c r="D569" s="2" t="s">
        <v>31</v>
      </c>
      <c r="E569" s="2" t="s">
        <v>44</v>
      </c>
      <c r="F569" s="2">
        <v>16</v>
      </c>
      <c r="G569" s="2">
        <v>374.49</v>
      </c>
      <c r="H569" s="2">
        <v>5991.84</v>
      </c>
      <c r="I569" s="2">
        <v>3725.74</v>
      </c>
      <c r="J569" s="2">
        <v>2266.1</v>
      </c>
      <c r="K569" s="3">
        <v>46131</v>
      </c>
      <c r="L569" s="3">
        <v>46139</v>
      </c>
      <c r="M569" s="2" t="s">
        <v>26</v>
      </c>
      <c r="N569" s="2">
        <v>3</v>
      </c>
      <c r="O569" s="2" t="s">
        <v>184</v>
      </c>
      <c r="P569" s="25">
        <v>9.1999999999999993</v>
      </c>
      <c r="Q569" t="str">
        <f t="shared" si="73"/>
        <v>0568</v>
      </c>
      <c r="R569" t="str">
        <f>IF('RETAIL SALES DATA.'!H569&gt;AVERAGE('RETAIL SALES DATA.'!H569:H1568),"HIGHEST VALUE","LOWEST VALUE")</f>
        <v>LOWEST VALUE</v>
      </c>
      <c r="S569" t="str">
        <f t="shared" si="74"/>
        <v>Profit</v>
      </c>
      <c r="T569" t="str">
        <f t="shared" si="75"/>
        <v>Mark Williams</v>
      </c>
      <c r="U569" t="str">
        <f t="shared" si="76"/>
        <v>Table</v>
      </c>
      <c r="V569">
        <f t="shared" si="77"/>
        <v>2026</v>
      </c>
      <c r="W569">
        <f t="shared" si="78"/>
        <v>4</v>
      </c>
      <c r="X569">
        <f t="shared" si="79"/>
        <v>19</v>
      </c>
      <c r="Y569" t="str">
        <f t="shared" si="80"/>
        <v>Apr</v>
      </c>
      <c r="Z569">
        <f t="shared" si="81"/>
        <v>8</v>
      </c>
    </row>
    <row r="570" spans="1:26" ht="15.75" customHeight="1" x14ac:dyDescent="0.3">
      <c r="A570" s="2" t="s">
        <v>1408</v>
      </c>
      <c r="B570" s="2" t="s">
        <v>1409</v>
      </c>
      <c r="C570" s="2" t="s">
        <v>72</v>
      </c>
      <c r="D570" s="2" t="s">
        <v>31</v>
      </c>
      <c r="E570" s="2" t="s">
        <v>32</v>
      </c>
      <c r="F570" s="2">
        <v>10</v>
      </c>
      <c r="G570" s="2">
        <v>387.69</v>
      </c>
      <c r="H570" s="2">
        <v>3876.9</v>
      </c>
      <c r="I570" s="2">
        <v>3448.95</v>
      </c>
      <c r="J570" s="2">
        <v>427.95</v>
      </c>
      <c r="K570" s="3">
        <v>45604</v>
      </c>
      <c r="L570" s="3">
        <v>45614</v>
      </c>
      <c r="M570" s="2" t="s">
        <v>33</v>
      </c>
      <c r="N570" s="2">
        <v>2</v>
      </c>
      <c r="O570" s="2" t="s">
        <v>196</v>
      </c>
      <c r="P570" s="25">
        <v>8.5</v>
      </c>
      <c r="Q570" t="str">
        <f t="shared" si="73"/>
        <v>0569</v>
      </c>
      <c r="R570" t="str">
        <f>IF('RETAIL SALES DATA.'!H570&gt;AVERAGE('RETAIL SALES DATA.'!H570:H1569),"HIGHEST VALUE","LOWEST VALUE")</f>
        <v>LOWEST VALUE</v>
      </c>
      <c r="S570" t="str">
        <f t="shared" si="74"/>
        <v>Profit</v>
      </c>
      <c r="T570" t="str">
        <f t="shared" si="75"/>
        <v>Rachel Pham</v>
      </c>
      <c r="U570" t="str">
        <f t="shared" si="76"/>
        <v>Chair</v>
      </c>
      <c r="V570">
        <f t="shared" si="77"/>
        <v>2024</v>
      </c>
      <c r="W570">
        <f t="shared" si="78"/>
        <v>11</v>
      </c>
      <c r="X570">
        <f t="shared" si="79"/>
        <v>8</v>
      </c>
      <c r="Y570" t="str">
        <f t="shared" si="80"/>
        <v>Nov</v>
      </c>
      <c r="Z570">
        <f t="shared" si="81"/>
        <v>10</v>
      </c>
    </row>
    <row r="571" spans="1:26" ht="15.75" customHeight="1" x14ac:dyDescent="0.3">
      <c r="A571" s="2" t="s">
        <v>1410</v>
      </c>
      <c r="B571" s="2" t="s">
        <v>1411</v>
      </c>
      <c r="C571" s="2" t="s">
        <v>18</v>
      </c>
      <c r="D571" s="2" t="s">
        <v>19</v>
      </c>
      <c r="E571" s="2" t="s">
        <v>25</v>
      </c>
      <c r="F571" s="2">
        <v>9</v>
      </c>
      <c r="G571" s="2">
        <v>61.03</v>
      </c>
      <c r="H571" s="2">
        <v>549.27</v>
      </c>
      <c r="I571" s="2">
        <v>332.71</v>
      </c>
      <c r="J571" s="2">
        <v>216.56</v>
      </c>
      <c r="K571" s="3">
        <v>45903</v>
      </c>
      <c r="L571" s="3">
        <v>45908</v>
      </c>
      <c r="M571" s="2" t="s">
        <v>58</v>
      </c>
      <c r="N571" s="2">
        <v>4</v>
      </c>
      <c r="O571" s="2" t="s">
        <v>59</v>
      </c>
      <c r="P571" s="25">
        <v>7.9</v>
      </c>
      <c r="Q571" t="str">
        <f t="shared" si="73"/>
        <v>0570</v>
      </c>
      <c r="R571" t="str">
        <f>IF('RETAIL SALES DATA.'!H571&gt;AVERAGE('RETAIL SALES DATA.'!H571:H1570),"HIGHEST VALUE","LOWEST VALUE")</f>
        <v>LOWEST VALUE</v>
      </c>
      <c r="S571" t="str">
        <f t="shared" si="74"/>
        <v>Profit</v>
      </c>
      <c r="T571" t="str">
        <f t="shared" si="75"/>
        <v>Michael Richards</v>
      </c>
      <c r="U571" t="str">
        <f t="shared" si="76"/>
        <v>Pen</v>
      </c>
      <c r="V571">
        <f t="shared" si="77"/>
        <v>2025</v>
      </c>
      <c r="W571">
        <f t="shared" si="78"/>
        <v>9</v>
      </c>
      <c r="X571">
        <f t="shared" si="79"/>
        <v>3</v>
      </c>
      <c r="Y571" t="str">
        <f t="shared" si="80"/>
        <v>Sep</v>
      </c>
      <c r="Z571">
        <f t="shared" si="81"/>
        <v>5</v>
      </c>
    </row>
    <row r="572" spans="1:26" ht="15.75" customHeight="1" x14ac:dyDescent="0.3">
      <c r="A572" s="2" t="s">
        <v>1412</v>
      </c>
      <c r="B572" s="2" t="s">
        <v>1413</v>
      </c>
      <c r="C572" s="2" t="s">
        <v>30</v>
      </c>
      <c r="D572" s="2" t="s">
        <v>31</v>
      </c>
      <c r="E572" s="2" t="s">
        <v>20</v>
      </c>
      <c r="F572" s="2">
        <v>13</v>
      </c>
      <c r="G572" s="2">
        <v>1509.53</v>
      </c>
      <c r="H572" s="2">
        <v>19623.89</v>
      </c>
      <c r="I572" s="2">
        <v>13299.72</v>
      </c>
      <c r="J572" s="2">
        <v>6324.17</v>
      </c>
      <c r="K572" s="3">
        <v>46094</v>
      </c>
      <c r="L572" s="3">
        <v>46104</v>
      </c>
      <c r="M572" s="2" t="s">
        <v>69</v>
      </c>
      <c r="N572" s="2">
        <v>2</v>
      </c>
      <c r="O572" s="2" t="s">
        <v>351</v>
      </c>
      <c r="P572" s="25">
        <v>8</v>
      </c>
      <c r="Q572" t="str">
        <f t="shared" si="73"/>
        <v>0571</v>
      </c>
      <c r="R572" t="str">
        <f>IF('RETAIL SALES DATA.'!H572&gt;AVERAGE('RETAIL SALES DATA.'!H572:H1571),"HIGHEST VALUE","LOWEST VALUE")</f>
        <v>LOWEST VALUE</v>
      </c>
      <c r="S572" t="str">
        <f t="shared" si="74"/>
        <v>Profit</v>
      </c>
      <c r="T572" t="str">
        <f t="shared" si="75"/>
        <v>Michael Robinson</v>
      </c>
      <c r="U572" t="str">
        <f t="shared" si="76"/>
        <v>Desk</v>
      </c>
      <c r="V572">
        <f t="shared" si="77"/>
        <v>2026</v>
      </c>
      <c r="W572">
        <f t="shared" si="78"/>
        <v>3</v>
      </c>
      <c r="X572">
        <f t="shared" si="79"/>
        <v>13</v>
      </c>
      <c r="Y572" t="str">
        <f t="shared" si="80"/>
        <v>Mar</v>
      </c>
      <c r="Z572">
        <f t="shared" si="81"/>
        <v>10</v>
      </c>
    </row>
    <row r="573" spans="1:26" ht="15.75" customHeight="1" x14ac:dyDescent="0.3">
      <c r="A573" s="2" t="s">
        <v>1414</v>
      </c>
      <c r="B573" s="2" t="s">
        <v>1415</v>
      </c>
      <c r="C573" s="2" t="s">
        <v>18</v>
      </c>
      <c r="D573" s="2" t="s">
        <v>19</v>
      </c>
      <c r="E573" s="2" t="s">
        <v>44</v>
      </c>
      <c r="F573" s="2">
        <v>1</v>
      </c>
      <c r="G573" s="2">
        <v>452.64</v>
      </c>
      <c r="H573" s="2">
        <v>452.64</v>
      </c>
      <c r="I573" s="2">
        <v>345.76</v>
      </c>
      <c r="J573" s="2">
        <v>106.88</v>
      </c>
      <c r="K573" s="3">
        <v>45626</v>
      </c>
      <c r="L573" s="3">
        <v>45632</v>
      </c>
      <c r="M573" s="2" t="s">
        <v>45</v>
      </c>
      <c r="N573" s="2">
        <v>2</v>
      </c>
      <c r="O573" s="2" t="s">
        <v>757</v>
      </c>
      <c r="P573" s="25">
        <v>9.5</v>
      </c>
      <c r="Q573" t="str">
        <f t="shared" si="73"/>
        <v>0572</v>
      </c>
      <c r="R573" t="str">
        <f>IF('RETAIL SALES DATA.'!H573&gt;AVERAGE('RETAIL SALES DATA.'!H573:H1572),"HIGHEST VALUE","LOWEST VALUE")</f>
        <v>LOWEST VALUE</v>
      </c>
      <c r="S573" t="str">
        <f t="shared" si="74"/>
        <v>Profit</v>
      </c>
      <c r="T573" t="str">
        <f t="shared" si="75"/>
        <v>Stephanie Smith</v>
      </c>
      <c r="U573" t="str">
        <f t="shared" si="76"/>
        <v>Pen</v>
      </c>
      <c r="V573">
        <f t="shared" si="77"/>
        <v>2024</v>
      </c>
      <c r="W573">
        <f t="shared" si="78"/>
        <v>12</v>
      </c>
      <c r="X573">
        <f t="shared" si="79"/>
        <v>30</v>
      </c>
      <c r="Y573" t="str">
        <f t="shared" si="80"/>
        <v>Nov</v>
      </c>
      <c r="Z573">
        <f t="shared" si="81"/>
        <v>6</v>
      </c>
    </row>
    <row r="574" spans="1:26" ht="15.75" customHeight="1" x14ac:dyDescent="0.3">
      <c r="A574" s="2" t="s">
        <v>1416</v>
      </c>
      <c r="B574" s="2" t="s">
        <v>1417</v>
      </c>
      <c r="C574" s="2" t="s">
        <v>72</v>
      </c>
      <c r="D574" s="2" t="s">
        <v>31</v>
      </c>
      <c r="E574" s="2" t="s">
        <v>20</v>
      </c>
      <c r="F574" s="2">
        <v>11</v>
      </c>
      <c r="G574" s="2">
        <v>1199.76</v>
      </c>
      <c r="H574" s="2">
        <v>13197.36</v>
      </c>
      <c r="I574" s="2">
        <v>8997.7999999999993</v>
      </c>
      <c r="J574" s="2">
        <v>4199.5600000000004</v>
      </c>
      <c r="K574" s="3">
        <v>46124</v>
      </c>
      <c r="L574" s="3">
        <v>46129</v>
      </c>
      <c r="M574" s="2" t="s">
        <v>21</v>
      </c>
      <c r="N574" s="2">
        <v>5</v>
      </c>
      <c r="O574" s="2" t="s">
        <v>615</v>
      </c>
      <c r="P574" s="25">
        <v>6.7</v>
      </c>
      <c r="Q574" t="str">
        <f t="shared" si="73"/>
        <v>0573</v>
      </c>
      <c r="R574" t="str">
        <f>IF('RETAIL SALES DATA.'!H574&gt;AVERAGE('RETAIL SALES DATA.'!H574:H1573),"HIGHEST VALUE","LOWEST VALUE")</f>
        <v>LOWEST VALUE</v>
      </c>
      <c r="S574" t="str">
        <f t="shared" si="74"/>
        <v>Profit</v>
      </c>
      <c r="T574" t="str">
        <f t="shared" si="75"/>
        <v>Kathy Lowe</v>
      </c>
      <c r="U574" t="str">
        <f t="shared" si="76"/>
        <v>Chair</v>
      </c>
      <c r="V574">
        <f t="shared" si="77"/>
        <v>2026</v>
      </c>
      <c r="W574">
        <f t="shared" si="78"/>
        <v>4</v>
      </c>
      <c r="X574">
        <f t="shared" si="79"/>
        <v>12</v>
      </c>
      <c r="Y574" t="str">
        <f t="shared" si="80"/>
        <v>Apr</v>
      </c>
      <c r="Z574">
        <f t="shared" si="81"/>
        <v>5</v>
      </c>
    </row>
    <row r="575" spans="1:26" ht="15.75" customHeight="1" x14ac:dyDescent="0.3">
      <c r="A575" s="2" t="s">
        <v>1418</v>
      </c>
      <c r="B575" s="2" t="s">
        <v>1419</v>
      </c>
      <c r="C575" s="2" t="s">
        <v>195</v>
      </c>
      <c r="D575" s="2" t="s">
        <v>43</v>
      </c>
      <c r="E575" s="2" t="s">
        <v>20</v>
      </c>
      <c r="F575" s="2">
        <v>13</v>
      </c>
      <c r="G575" s="2">
        <v>2014.62</v>
      </c>
      <c r="H575" s="2">
        <v>26190.06</v>
      </c>
      <c r="I575" s="2">
        <v>23252.26</v>
      </c>
      <c r="J575" s="2">
        <v>2937.8</v>
      </c>
      <c r="K575" s="3">
        <v>46116</v>
      </c>
      <c r="L575" s="3">
        <v>46125</v>
      </c>
      <c r="M575" s="2" t="s">
        <v>21</v>
      </c>
      <c r="N575" s="2">
        <v>4</v>
      </c>
      <c r="O575" s="2" t="s">
        <v>169</v>
      </c>
      <c r="P575" s="25">
        <v>8.8000000000000007</v>
      </c>
      <c r="Q575" t="str">
        <f t="shared" si="73"/>
        <v>0574</v>
      </c>
      <c r="R575" t="str">
        <f>IF('RETAIL SALES DATA.'!H575&gt;AVERAGE('RETAIL SALES DATA.'!H575:H1574),"HIGHEST VALUE","LOWEST VALUE")</f>
        <v>LOWEST VALUE</v>
      </c>
      <c r="S575" t="str">
        <f t="shared" si="74"/>
        <v>Profit</v>
      </c>
      <c r="T575" t="str">
        <f t="shared" si="75"/>
        <v>Michael Hall</v>
      </c>
      <c r="U575" t="str">
        <f t="shared" si="76"/>
        <v>Monitor</v>
      </c>
      <c r="V575">
        <f t="shared" si="77"/>
        <v>2026</v>
      </c>
      <c r="W575">
        <f t="shared" si="78"/>
        <v>4</v>
      </c>
      <c r="X575">
        <f t="shared" si="79"/>
        <v>4</v>
      </c>
      <c r="Y575" t="str">
        <f t="shared" si="80"/>
        <v>Apr</v>
      </c>
      <c r="Z575">
        <f t="shared" si="81"/>
        <v>9</v>
      </c>
    </row>
    <row r="576" spans="1:26" ht="15.75" customHeight="1" x14ac:dyDescent="0.3">
      <c r="A576" s="2" t="s">
        <v>1420</v>
      </c>
      <c r="B576" s="2" t="s">
        <v>1421</v>
      </c>
      <c r="C576" s="2" t="s">
        <v>37</v>
      </c>
      <c r="D576" s="2" t="s">
        <v>19</v>
      </c>
      <c r="E576" s="2" t="s">
        <v>32</v>
      </c>
      <c r="F576" s="2">
        <v>10</v>
      </c>
      <c r="G576" s="2">
        <v>2961.05</v>
      </c>
      <c r="H576" s="2">
        <v>29610.5</v>
      </c>
      <c r="I576" s="2">
        <v>17552.52</v>
      </c>
      <c r="J576" s="2">
        <v>12057.98</v>
      </c>
      <c r="K576" s="3">
        <v>46161</v>
      </c>
      <c r="L576" s="3">
        <v>46171</v>
      </c>
      <c r="M576" s="2" t="s">
        <v>26</v>
      </c>
      <c r="N576" s="2">
        <v>3</v>
      </c>
      <c r="O576" s="2" t="s">
        <v>145</v>
      </c>
      <c r="P576" s="25">
        <v>6.8</v>
      </c>
      <c r="Q576" t="str">
        <f t="shared" si="73"/>
        <v>0575</v>
      </c>
      <c r="R576" t="str">
        <f>IF('RETAIL SALES DATA.'!H576&gt;AVERAGE('RETAIL SALES DATA.'!H576:H1575),"HIGHEST VALUE","LOWEST VALUE")</f>
        <v>HIGHEST VALUE</v>
      </c>
      <c r="S576" t="str">
        <f t="shared" si="74"/>
        <v>Profit</v>
      </c>
      <c r="T576" t="str">
        <f t="shared" si="75"/>
        <v>Tiffany Heath</v>
      </c>
      <c r="U576" t="str">
        <f t="shared" si="76"/>
        <v>Marker</v>
      </c>
      <c r="V576">
        <f t="shared" si="77"/>
        <v>2026</v>
      </c>
      <c r="W576">
        <f t="shared" si="78"/>
        <v>5</v>
      </c>
      <c r="X576">
        <f t="shared" si="79"/>
        <v>19</v>
      </c>
      <c r="Y576" t="str">
        <f t="shared" si="80"/>
        <v>May</v>
      </c>
      <c r="Z576">
        <f t="shared" si="81"/>
        <v>10</v>
      </c>
    </row>
    <row r="577" spans="1:26" ht="15.75" customHeight="1" x14ac:dyDescent="0.3">
      <c r="A577" s="2" t="s">
        <v>1422</v>
      </c>
      <c r="B577" s="2" t="s">
        <v>1423</v>
      </c>
      <c r="C577" s="2" t="s">
        <v>72</v>
      </c>
      <c r="D577" s="2" t="s">
        <v>31</v>
      </c>
      <c r="E577" s="2" t="s">
        <v>25</v>
      </c>
      <c r="F577" s="2">
        <v>14</v>
      </c>
      <c r="G577" s="2">
        <v>4400.5600000000004</v>
      </c>
      <c r="H577" s="2">
        <v>61607.839999999997</v>
      </c>
      <c r="I577" s="2">
        <v>43422.33</v>
      </c>
      <c r="J577" s="2">
        <v>18185.509999999998</v>
      </c>
      <c r="K577" s="3">
        <v>45590</v>
      </c>
      <c r="L577" s="3">
        <v>45600</v>
      </c>
      <c r="M577" s="2" t="s">
        <v>123</v>
      </c>
      <c r="N577" s="2">
        <v>2</v>
      </c>
      <c r="O577" s="2" t="s">
        <v>585</v>
      </c>
      <c r="P577" s="25">
        <v>9.1</v>
      </c>
      <c r="Q577" t="str">
        <f t="shared" si="73"/>
        <v>0576</v>
      </c>
      <c r="R577" t="str">
        <f>IF('RETAIL SALES DATA.'!H577&gt;AVERAGE('RETAIL SALES DATA.'!H577:H1576),"HIGHEST VALUE","LOWEST VALUE")</f>
        <v>HIGHEST VALUE</v>
      </c>
      <c r="S577" t="str">
        <f t="shared" si="74"/>
        <v>Profit</v>
      </c>
      <c r="T577" t="str">
        <f t="shared" si="75"/>
        <v>Ann Brown</v>
      </c>
      <c r="U577" t="str">
        <f t="shared" si="76"/>
        <v>Chair</v>
      </c>
      <c r="V577">
        <f t="shared" si="77"/>
        <v>2024</v>
      </c>
      <c r="W577">
        <f t="shared" si="78"/>
        <v>11</v>
      </c>
      <c r="X577">
        <f t="shared" si="79"/>
        <v>25</v>
      </c>
      <c r="Y577" t="str">
        <f t="shared" si="80"/>
        <v>Oct</v>
      </c>
      <c r="Z577">
        <f t="shared" si="81"/>
        <v>10</v>
      </c>
    </row>
    <row r="578" spans="1:26" ht="15.75" customHeight="1" x14ac:dyDescent="0.3">
      <c r="A578" s="2" t="s">
        <v>1424</v>
      </c>
      <c r="B578" s="2" t="s">
        <v>1425</v>
      </c>
      <c r="C578" s="2" t="s">
        <v>62</v>
      </c>
      <c r="D578" s="2" t="s">
        <v>31</v>
      </c>
      <c r="E578" s="2" t="s">
        <v>32</v>
      </c>
      <c r="F578" s="2">
        <v>15</v>
      </c>
      <c r="G578" s="2">
        <v>3685.2</v>
      </c>
      <c r="H578" s="2">
        <v>55278</v>
      </c>
      <c r="I578" s="2">
        <v>38630.559999999998</v>
      </c>
      <c r="J578" s="2">
        <v>16647.439999999999</v>
      </c>
      <c r="K578" s="3">
        <v>45437</v>
      </c>
      <c r="L578" s="3">
        <v>45438</v>
      </c>
      <c r="M578" s="2" t="s">
        <v>181</v>
      </c>
      <c r="N578" s="2">
        <v>4</v>
      </c>
      <c r="O578" s="2" t="s">
        <v>340</v>
      </c>
      <c r="P578" s="25">
        <v>6.9</v>
      </c>
      <c r="Q578" t="str">
        <f t="shared" si="73"/>
        <v>0577</v>
      </c>
      <c r="R578" t="str">
        <f>IF('RETAIL SALES DATA.'!H578&gt;AVERAGE('RETAIL SALES DATA.'!H578:H1577),"HIGHEST VALUE","LOWEST VALUE")</f>
        <v>HIGHEST VALUE</v>
      </c>
      <c r="S578" t="str">
        <f t="shared" si="74"/>
        <v>Profit</v>
      </c>
      <c r="T578" t="str">
        <f t="shared" si="75"/>
        <v>Colleen Lane</v>
      </c>
      <c r="U578" t="str">
        <f t="shared" si="76"/>
        <v>Table</v>
      </c>
      <c r="V578">
        <f t="shared" si="77"/>
        <v>2024</v>
      </c>
      <c r="W578">
        <f t="shared" si="78"/>
        <v>5</v>
      </c>
      <c r="X578">
        <f t="shared" si="79"/>
        <v>25</v>
      </c>
      <c r="Y578" t="str">
        <f t="shared" si="80"/>
        <v>May</v>
      </c>
      <c r="Z578">
        <f t="shared" si="81"/>
        <v>1</v>
      </c>
    </row>
    <row r="579" spans="1:26" ht="15.75" customHeight="1" x14ac:dyDescent="0.3">
      <c r="A579" s="2" t="s">
        <v>1426</v>
      </c>
      <c r="B579" s="2" t="s">
        <v>1427</v>
      </c>
      <c r="C579" s="2" t="s">
        <v>144</v>
      </c>
      <c r="D579" s="2" t="s">
        <v>19</v>
      </c>
      <c r="E579" s="2" t="s">
        <v>25</v>
      </c>
      <c r="F579" s="2">
        <v>5</v>
      </c>
      <c r="G579" s="2">
        <v>4101.6099999999997</v>
      </c>
      <c r="H579" s="2">
        <v>20508.05</v>
      </c>
      <c r="I579" s="2">
        <v>10545.92</v>
      </c>
      <c r="J579" s="2">
        <v>9962.1299999999992</v>
      </c>
      <c r="K579" s="3">
        <v>45526</v>
      </c>
      <c r="L579" s="3">
        <v>45535</v>
      </c>
      <c r="M579" s="2" t="s">
        <v>21</v>
      </c>
      <c r="N579" s="2">
        <v>1</v>
      </c>
      <c r="O579" s="2" t="s">
        <v>27</v>
      </c>
      <c r="P579" s="25">
        <v>8.6999999999999993</v>
      </c>
      <c r="Q579" t="str">
        <f t="shared" ref="Q579:Q642" si="82">RIGHT(A579,"4")</f>
        <v>0578</v>
      </c>
      <c r="R579" t="str">
        <f>IF('RETAIL SALES DATA.'!H579&gt;AVERAGE('RETAIL SALES DATA.'!H579:H1578),"HIGHEST VALUE","LOWEST VALUE")</f>
        <v>LOWEST VALUE</v>
      </c>
      <c r="S579" t="str">
        <f t="shared" ref="S579:S642" si="83">IF(J579&gt;0,"Profit","Loss")</f>
        <v>Profit</v>
      </c>
      <c r="T579" t="str">
        <f t="shared" ref="T579:T642" si="84">PROPER(B579)</f>
        <v>Christian Willis</v>
      </c>
      <c r="U579" t="str">
        <f t="shared" ref="U579:U642" si="85">PROPER(C579)</f>
        <v>File</v>
      </c>
      <c r="V579">
        <f t="shared" ref="V579:V642" si="86">YEAR(K579)</f>
        <v>2024</v>
      </c>
      <c r="W579">
        <f t="shared" ref="W579:W642" si="87">MONTH(L579)</f>
        <v>8</v>
      </c>
      <c r="X579">
        <f t="shared" ref="X579:X642" si="88">DAY(K579)</f>
        <v>22</v>
      </c>
      <c r="Y579" t="str">
        <f t="shared" ref="Y579:Y642" si="89">TEXT(K579,"MMM")</f>
        <v>Aug</v>
      </c>
      <c r="Z579">
        <f t="shared" ref="Z579:Z642" si="90">L579-K579</f>
        <v>9</v>
      </c>
    </row>
    <row r="580" spans="1:26" ht="15.75" customHeight="1" x14ac:dyDescent="0.3">
      <c r="A580" s="2" t="s">
        <v>1428</v>
      </c>
      <c r="B580" s="2" t="s">
        <v>1429</v>
      </c>
      <c r="C580" s="2" t="s">
        <v>18</v>
      </c>
      <c r="D580" s="2" t="s">
        <v>19</v>
      </c>
      <c r="E580" s="2" t="s">
        <v>32</v>
      </c>
      <c r="F580" s="2">
        <v>12</v>
      </c>
      <c r="G580" s="2">
        <v>4119.3500000000004</v>
      </c>
      <c r="H580" s="2">
        <v>49432.2</v>
      </c>
      <c r="I580" s="2">
        <v>36566.730000000003</v>
      </c>
      <c r="J580" s="2">
        <v>12865.47</v>
      </c>
      <c r="K580" s="3">
        <v>45507</v>
      </c>
      <c r="L580" s="3">
        <v>45517</v>
      </c>
      <c r="M580" s="2" t="s">
        <v>26</v>
      </c>
      <c r="N580" s="2">
        <v>1</v>
      </c>
      <c r="O580" s="2" t="s">
        <v>1251</v>
      </c>
      <c r="P580" s="25">
        <v>8.6</v>
      </c>
      <c r="Q580" t="str">
        <f t="shared" si="82"/>
        <v>0579</v>
      </c>
      <c r="R580" t="str">
        <f>IF('RETAIL SALES DATA.'!H580&gt;AVERAGE('RETAIL SALES DATA.'!H580:H1579),"HIGHEST VALUE","LOWEST VALUE")</f>
        <v>HIGHEST VALUE</v>
      </c>
      <c r="S580" t="str">
        <f t="shared" si="83"/>
        <v>Profit</v>
      </c>
      <c r="T580" t="str">
        <f t="shared" si="84"/>
        <v>Colleen Fisher</v>
      </c>
      <c r="U580" t="str">
        <f t="shared" si="85"/>
        <v>Pen</v>
      </c>
      <c r="V580">
        <f t="shared" si="86"/>
        <v>2024</v>
      </c>
      <c r="W580">
        <f t="shared" si="87"/>
        <v>8</v>
      </c>
      <c r="X580">
        <f t="shared" si="88"/>
        <v>3</v>
      </c>
      <c r="Y580" t="str">
        <f t="shared" si="89"/>
        <v>Aug</v>
      </c>
      <c r="Z580">
        <f t="shared" si="90"/>
        <v>10</v>
      </c>
    </row>
    <row r="581" spans="1:26" ht="15.75" customHeight="1" x14ac:dyDescent="0.3">
      <c r="A581" s="2" t="s">
        <v>1430</v>
      </c>
      <c r="B581" s="2" t="s">
        <v>1431</v>
      </c>
      <c r="C581" s="2" t="s">
        <v>57</v>
      </c>
      <c r="D581" s="2" t="s">
        <v>19</v>
      </c>
      <c r="E581" s="2" t="s">
        <v>44</v>
      </c>
      <c r="F581" s="2">
        <v>2</v>
      </c>
      <c r="G581" s="2">
        <v>1418.09</v>
      </c>
      <c r="H581" s="2">
        <v>2836.18</v>
      </c>
      <c r="I581" s="2">
        <v>1980.84</v>
      </c>
      <c r="J581" s="2">
        <v>855.34</v>
      </c>
      <c r="K581" s="3">
        <v>45703</v>
      </c>
      <c r="L581" s="3">
        <v>45704</v>
      </c>
      <c r="M581" s="2" t="s">
        <v>45</v>
      </c>
      <c r="N581" s="2">
        <v>4</v>
      </c>
      <c r="O581" s="2" t="s">
        <v>27</v>
      </c>
      <c r="P581" s="25">
        <v>8.9</v>
      </c>
      <c r="Q581" t="str">
        <f t="shared" si="82"/>
        <v>0580</v>
      </c>
      <c r="R581" t="str">
        <f>IF('RETAIL SALES DATA.'!H581&gt;AVERAGE('RETAIL SALES DATA.'!H581:H1580),"HIGHEST VALUE","LOWEST VALUE")</f>
        <v>LOWEST VALUE</v>
      </c>
      <c r="S581" t="str">
        <f t="shared" si="83"/>
        <v>Profit</v>
      </c>
      <c r="T581" t="str">
        <f t="shared" si="84"/>
        <v>Todd Anderson</v>
      </c>
      <c r="U581" t="str">
        <f t="shared" si="85"/>
        <v>Notebook</v>
      </c>
      <c r="V581">
        <f t="shared" si="86"/>
        <v>2025</v>
      </c>
      <c r="W581">
        <f t="shared" si="87"/>
        <v>2</v>
      </c>
      <c r="X581">
        <f t="shared" si="88"/>
        <v>15</v>
      </c>
      <c r="Y581" t="str">
        <f t="shared" si="89"/>
        <v>Feb</v>
      </c>
      <c r="Z581">
        <f t="shared" si="90"/>
        <v>1</v>
      </c>
    </row>
    <row r="582" spans="1:26" ht="15.75" customHeight="1" x14ac:dyDescent="0.3">
      <c r="A582" s="2" t="s">
        <v>1432</v>
      </c>
      <c r="B582" s="2" t="s">
        <v>1433</v>
      </c>
      <c r="C582" s="2" t="s">
        <v>37</v>
      </c>
      <c r="D582" s="2" t="s">
        <v>19</v>
      </c>
      <c r="E582" s="2" t="s">
        <v>44</v>
      </c>
      <c r="F582" s="2">
        <v>6</v>
      </c>
      <c r="G582" s="2">
        <v>2355.5</v>
      </c>
      <c r="H582" s="2">
        <v>14133</v>
      </c>
      <c r="I582" s="2">
        <v>7414.7</v>
      </c>
      <c r="J582" s="2">
        <v>6718.3</v>
      </c>
      <c r="K582" s="3">
        <v>45900</v>
      </c>
      <c r="L582" s="3">
        <v>45909</v>
      </c>
      <c r="M582" s="2" t="s">
        <v>21</v>
      </c>
      <c r="N582" s="2">
        <v>2</v>
      </c>
      <c r="O582" s="2" t="s">
        <v>199</v>
      </c>
      <c r="P582" s="25">
        <v>9.6999999999999993</v>
      </c>
      <c r="Q582" t="str">
        <f t="shared" si="82"/>
        <v>0581</v>
      </c>
      <c r="R582" t="str">
        <f>IF('RETAIL SALES DATA.'!H582&gt;AVERAGE('RETAIL SALES DATA.'!H582:H1581),"HIGHEST VALUE","LOWEST VALUE")</f>
        <v>LOWEST VALUE</v>
      </c>
      <c r="S582" t="str">
        <f t="shared" si="83"/>
        <v>Profit</v>
      </c>
      <c r="T582" t="str">
        <f t="shared" si="84"/>
        <v>Jonathan Howe</v>
      </c>
      <c r="U582" t="str">
        <f t="shared" si="85"/>
        <v>Marker</v>
      </c>
      <c r="V582">
        <f t="shared" si="86"/>
        <v>2025</v>
      </c>
      <c r="W582">
        <f t="shared" si="87"/>
        <v>9</v>
      </c>
      <c r="X582">
        <f t="shared" si="88"/>
        <v>31</v>
      </c>
      <c r="Y582" t="str">
        <f t="shared" si="89"/>
        <v>Aug</v>
      </c>
      <c r="Z582">
        <f t="shared" si="90"/>
        <v>9</v>
      </c>
    </row>
    <row r="583" spans="1:26" ht="15.75" customHeight="1" x14ac:dyDescent="0.3">
      <c r="A583" s="2" t="s">
        <v>1434</v>
      </c>
      <c r="B583" s="2" t="s">
        <v>1435</v>
      </c>
      <c r="C583" s="2" t="s">
        <v>72</v>
      </c>
      <c r="D583" s="2" t="s">
        <v>31</v>
      </c>
      <c r="E583" s="2" t="s">
        <v>20</v>
      </c>
      <c r="F583" s="2">
        <v>15</v>
      </c>
      <c r="G583" s="2">
        <v>2745.14</v>
      </c>
      <c r="H583" s="2">
        <v>41177.1</v>
      </c>
      <c r="I583" s="2">
        <v>32211.49</v>
      </c>
      <c r="J583" s="2">
        <v>8965.61</v>
      </c>
      <c r="K583" s="3">
        <v>45929</v>
      </c>
      <c r="L583" s="3">
        <v>45937</v>
      </c>
      <c r="M583" s="2" t="s">
        <v>21</v>
      </c>
      <c r="N583" s="2">
        <v>1</v>
      </c>
      <c r="O583" s="2" t="s">
        <v>172</v>
      </c>
      <c r="P583" s="25">
        <v>9.9</v>
      </c>
      <c r="Q583" t="str">
        <f t="shared" si="82"/>
        <v>0582</v>
      </c>
      <c r="R583" t="str">
        <f>IF('RETAIL SALES DATA.'!H583&gt;AVERAGE('RETAIL SALES DATA.'!H583:H1582),"HIGHEST VALUE","LOWEST VALUE")</f>
        <v>HIGHEST VALUE</v>
      </c>
      <c r="S583" t="str">
        <f t="shared" si="83"/>
        <v>Profit</v>
      </c>
      <c r="T583" t="str">
        <f t="shared" si="84"/>
        <v>Shelia Garza</v>
      </c>
      <c r="U583" t="str">
        <f t="shared" si="85"/>
        <v>Chair</v>
      </c>
      <c r="V583">
        <f t="shared" si="86"/>
        <v>2025</v>
      </c>
      <c r="W583">
        <f t="shared" si="87"/>
        <v>10</v>
      </c>
      <c r="X583">
        <f t="shared" si="88"/>
        <v>29</v>
      </c>
      <c r="Y583" t="str">
        <f t="shared" si="89"/>
        <v>Sep</v>
      </c>
      <c r="Z583">
        <f t="shared" si="90"/>
        <v>8</v>
      </c>
    </row>
    <row r="584" spans="1:26" ht="15.75" customHeight="1" x14ac:dyDescent="0.3">
      <c r="A584" s="2" t="s">
        <v>1436</v>
      </c>
      <c r="B584" s="2" t="s">
        <v>1437</v>
      </c>
      <c r="C584" s="2" t="s">
        <v>42</v>
      </c>
      <c r="D584" s="2" t="s">
        <v>43</v>
      </c>
      <c r="E584" s="2" t="s">
        <v>32</v>
      </c>
      <c r="F584" s="2">
        <v>20</v>
      </c>
      <c r="G584" s="2">
        <v>2245</v>
      </c>
      <c r="H584" s="2">
        <v>44900</v>
      </c>
      <c r="I584" s="2">
        <v>29920.85</v>
      </c>
      <c r="J584" s="2">
        <v>14979.15</v>
      </c>
      <c r="K584" s="3">
        <v>45457</v>
      </c>
      <c r="L584" s="3">
        <v>45462</v>
      </c>
      <c r="M584" s="2" t="s">
        <v>69</v>
      </c>
      <c r="N584" s="2">
        <v>3</v>
      </c>
      <c r="O584" s="2" t="s">
        <v>348</v>
      </c>
      <c r="P584" s="25">
        <v>9.6999999999999993</v>
      </c>
      <c r="Q584" t="str">
        <f t="shared" si="82"/>
        <v>0583</v>
      </c>
      <c r="R584" t="str">
        <f>IF('RETAIL SALES DATA.'!H584&gt;AVERAGE('RETAIL SALES DATA.'!H584:H1583),"HIGHEST VALUE","LOWEST VALUE")</f>
        <v>HIGHEST VALUE</v>
      </c>
      <c r="S584" t="str">
        <f t="shared" si="83"/>
        <v>Profit</v>
      </c>
      <c r="T584" t="str">
        <f t="shared" si="84"/>
        <v>Jack Williams</v>
      </c>
      <c r="U584" t="str">
        <f t="shared" si="85"/>
        <v>Laptop</v>
      </c>
      <c r="V584">
        <f t="shared" si="86"/>
        <v>2024</v>
      </c>
      <c r="W584">
        <f t="shared" si="87"/>
        <v>6</v>
      </c>
      <c r="X584">
        <f t="shared" si="88"/>
        <v>14</v>
      </c>
      <c r="Y584" t="str">
        <f t="shared" si="89"/>
        <v>Jun</v>
      </c>
      <c r="Z584">
        <f t="shared" si="90"/>
        <v>5</v>
      </c>
    </row>
    <row r="585" spans="1:26" ht="15.75" customHeight="1" x14ac:dyDescent="0.3">
      <c r="A585" s="2" t="s">
        <v>1438</v>
      </c>
      <c r="B585" s="2" t="s">
        <v>1439</v>
      </c>
      <c r="C585" s="2" t="s">
        <v>195</v>
      </c>
      <c r="D585" s="2" t="s">
        <v>43</v>
      </c>
      <c r="E585" s="2" t="s">
        <v>32</v>
      </c>
      <c r="F585" s="2">
        <v>17</v>
      </c>
      <c r="G585" s="2">
        <v>3431.68</v>
      </c>
      <c r="H585" s="2">
        <v>58338.559999999998</v>
      </c>
      <c r="I585" s="2">
        <v>40195.760000000002</v>
      </c>
      <c r="J585" s="2">
        <v>18142.8</v>
      </c>
      <c r="K585" s="3">
        <v>45672</v>
      </c>
      <c r="L585" s="3">
        <v>45682</v>
      </c>
      <c r="M585" s="2" t="s">
        <v>123</v>
      </c>
      <c r="N585" s="2">
        <v>4</v>
      </c>
      <c r="O585" s="2" t="s">
        <v>59</v>
      </c>
      <c r="P585" s="25">
        <v>8.9</v>
      </c>
      <c r="Q585" t="str">
        <f t="shared" si="82"/>
        <v>0584</v>
      </c>
      <c r="R585" t="str">
        <f>IF('RETAIL SALES DATA.'!H585&gt;AVERAGE('RETAIL SALES DATA.'!H585:H1584),"HIGHEST VALUE","LOWEST VALUE")</f>
        <v>HIGHEST VALUE</v>
      </c>
      <c r="S585" t="str">
        <f t="shared" si="83"/>
        <v>Profit</v>
      </c>
      <c r="T585" t="str">
        <f t="shared" si="84"/>
        <v>Terry Velasquez</v>
      </c>
      <c r="U585" t="str">
        <f t="shared" si="85"/>
        <v>Monitor</v>
      </c>
      <c r="V585">
        <f t="shared" si="86"/>
        <v>2025</v>
      </c>
      <c r="W585">
        <f t="shared" si="87"/>
        <v>1</v>
      </c>
      <c r="X585">
        <f t="shared" si="88"/>
        <v>15</v>
      </c>
      <c r="Y585" t="str">
        <f t="shared" si="89"/>
        <v>Jan</v>
      </c>
      <c r="Z585">
        <f t="shared" si="90"/>
        <v>10</v>
      </c>
    </row>
    <row r="586" spans="1:26" ht="15.75" customHeight="1" x14ac:dyDescent="0.3">
      <c r="A586" s="2" t="s">
        <v>1440</v>
      </c>
      <c r="B586" s="2" t="s">
        <v>1441</v>
      </c>
      <c r="C586" s="2" t="s">
        <v>72</v>
      </c>
      <c r="D586" s="2" t="s">
        <v>31</v>
      </c>
      <c r="E586" s="2" t="s">
        <v>32</v>
      </c>
      <c r="F586" s="2">
        <v>5</v>
      </c>
      <c r="G586" s="2">
        <v>1433.74</v>
      </c>
      <c r="H586" s="2">
        <v>7168.7</v>
      </c>
      <c r="I586" s="2">
        <v>4275.24</v>
      </c>
      <c r="J586" s="2">
        <v>2893.46</v>
      </c>
      <c r="K586" s="3">
        <v>45864</v>
      </c>
      <c r="L586" s="3">
        <v>45872</v>
      </c>
      <c r="M586" s="2" t="s">
        <v>38</v>
      </c>
      <c r="N586" s="2">
        <v>4</v>
      </c>
      <c r="O586" s="2" t="s">
        <v>470</v>
      </c>
      <c r="P586" s="25">
        <v>9.1</v>
      </c>
      <c r="Q586" t="str">
        <f t="shared" si="82"/>
        <v>0585</v>
      </c>
      <c r="R586" t="str">
        <f>IF('RETAIL SALES DATA.'!H586&gt;AVERAGE('RETAIL SALES DATA.'!H586:H1585),"HIGHEST VALUE","LOWEST VALUE")</f>
        <v>LOWEST VALUE</v>
      </c>
      <c r="S586" t="str">
        <f t="shared" si="83"/>
        <v>Profit</v>
      </c>
      <c r="T586" t="str">
        <f t="shared" si="84"/>
        <v>Richard Wright</v>
      </c>
      <c r="U586" t="str">
        <f t="shared" si="85"/>
        <v>Chair</v>
      </c>
      <c r="V586">
        <f t="shared" si="86"/>
        <v>2025</v>
      </c>
      <c r="W586">
        <f t="shared" si="87"/>
        <v>8</v>
      </c>
      <c r="X586">
        <f t="shared" si="88"/>
        <v>26</v>
      </c>
      <c r="Y586" t="str">
        <f t="shared" si="89"/>
        <v>Jul</v>
      </c>
      <c r="Z586">
        <f t="shared" si="90"/>
        <v>8</v>
      </c>
    </row>
    <row r="587" spans="1:26" ht="15.75" customHeight="1" x14ac:dyDescent="0.3">
      <c r="A587" s="2" t="s">
        <v>1442</v>
      </c>
      <c r="B587" s="2" t="s">
        <v>1443</v>
      </c>
      <c r="C587" s="2" t="s">
        <v>57</v>
      </c>
      <c r="D587" s="2" t="s">
        <v>19</v>
      </c>
      <c r="E587" s="2" t="s">
        <v>44</v>
      </c>
      <c r="F587" s="2">
        <v>12</v>
      </c>
      <c r="G587" s="2">
        <v>1831.45</v>
      </c>
      <c r="H587" s="2">
        <v>21977.4</v>
      </c>
      <c r="I587" s="2">
        <v>16061.5</v>
      </c>
      <c r="J587" s="2">
        <v>5915.9</v>
      </c>
      <c r="K587" s="3">
        <v>46037</v>
      </c>
      <c r="L587" s="3">
        <v>46044</v>
      </c>
      <c r="M587" s="2" t="s">
        <v>50</v>
      </c>
      <c r="N587" s="2">
        <v>2</v>
      </c>
      <c r="O587" s="2" t="s">
        <v>82</v>
      </c>
      <c r="P587" s="25">
        <v>6.2</v>
      </c>
      <c r="Q587" t="str">
        <f t="shared" si="82"/>
        <v>0586</v>
      </c>
      <c r="R587" t="str">
        <f>IF('RETAIL SALES DATA.'!H587&gt;AVERAGE('RETAIL SALES DATA.'!H587:H1586),"HIGHEST VALUE","LOWEST VALUE")</f>
        <v>LOWEST VALUE</v>
      </c>
      <c r="S587" t="str">
        <f t="shared" si="83"/>
        <v>Profit</v>
      </c>
      <c r="T587" t="str">
        <f t="shared" si="84"/>
        <v>Terri Carroll</v>
      </c>
      <c r="U587" t="str">
        <f t="shared" si="85"/>
        <v>Notebook</v>
      </c>
      <c r="V587">
        <f t="shared" si="86"/>
        <v>2026</v>
      </c>
      <c r="W587">
        <f t="shared" si="87"/>
        <v>1</v>
      </c>
      <c r="X587">
        <f t="shared" si="88"/>
        <v>15</v>
      </c>
      <c r="Y587" t="str">
        <f t="shared" si="89"/>
        <v>Jan</v>
      </c>
      <c r="Z587">
        <f t="shared" si="90"/>
        <v>7</v>
      </c>
    </row>
    <row r="588" spans="1:26" ht="15.75" customHeight="1" x14ac:dyDescent="0.3">
      <c r="A588" s="2" t="s">
        <v>1444</v>
      </c>
      <c r="B588" s="2" t="s">
        <v>1445</v>
      </c>
      <c r="C588" s="2" t="s">
        <v>37</v>
      </c>
      <c r="D588" s="2" t="s">
        <v>19</v>
      </c>
      <c r="E588" s="2" t="s">
        <v>32</v>
      </c>
      <c r="F588" s="2">
        <v>16</v>
      </c>
      <c r="G588" s="2">
        <v>4008.86</v>
      </c>
      <c r="H588" s="2">
        <v>64141.760000000002</v>
      </c>
      <c r="I588" s="2">
        <v>39343.160000000003</v>
      </c>
      <c r="J588" s="2">
        <v>24798.6</v>
      </c>
      <c r="K588" s="3">
        <v>45518</v>
      </c>
      <c r="L588" s="3">
        <v>45528</v>
      </c>
      <c r="M588" s="2" t="s">
        <v>58</v>
      </c>
      <c r="N588" s="2">
        <v>4</v>
      </c>
      <c r="O588" s="2" t="s">
        <v>85</v>
      </c>
      <c r="P588" s="25">
        <v>9.4</v>
      </c>
      <c r="Q588" t="str">
        <f t="shared" si="82"/>
        <v>0587</v>
      </c>
      <c r="R588" t="str">
        <f>IF('RETAIL SALES DATA.'!H588&gt;AVERAGE('RETAIL SALES DATA.'!H588:H1587),"HIGHEST VALUE","LOWEST VALUE")</f>
        <v>HIGHEST VALUE</v>
      </c>
      <c r="S588" t="str">
        <f t="shared" si="83"/>
        <v>Profit</v>
      </c>
      <c r="T588" t="str">
        <f t="shared" si="84"/>
        <v>Wayne Kelly</v>
      </c>
      <c r="U588" t="str">
        <f t="shared" si="85"/>
        <v>Marker</v>
      </c>
      <c r="V588">
        <f t="shared" si="86"/>
        <v>2024</v>
      </c>
      <c r="W588">
        <f t="shared" si="87"/>
        <v>8</v>
      </c>
      <c r="X588">
        <f t="shared" si="88"/>
        <v>14</v>
      </c>
      <c r="Y588" t="str">
        <f t="shared" si="89"/>
        <v>Aug</v>
      </c>
      <c r="Z588">
        <f t="shared" si="90"/>
        <v>10</v>
      </c>
    </row>
    <row r="589" spans="1:26" ht="15.75" customHeight="1" x14ac:dyDescent="0.3">
      <c r="A589" s="2" t="s">
        <v>1446</v>
      </c>
      <c r="B589" s="2" t="s">
        <v>1447</v>
      </c>
      <c r="C589" s="2" t="s">
        <v>30</v>
      </c>
      <c r="D589" s="2" t="s">
        <v>31</v>
      </c>
      <c r="E589" s="2" t="s">
        <v>32</v>
      </c>
      <c r="F589" s="2">
        <v>5</v>
      </c>
      <c r="G589" s="2">
        <v>1471.12</v>
      </c>
      <c r="H589" s="2">
        <v>7355.6</v>
      </c>
      <c r="I589" s="2">
        <v>6415.68</v>
      </c>
      <c r="J589" s="2">
        <v>939.92</v>
      </c>
      <c r="K589" s="3">
        <v>45683</v>
      </c>
      <c r="L589" s="3">
        <v>45689</v>
      </c>
      <c r="M589" s="2" t="s">
        <v>26</v>
      </c>
      <c r="N589" s="2">
        <v>3</v>
      </c>
      <c r="O589" s="2" t="s">
        <v>475</v>
      </c>
      <c r="P589" s="25">
        <v>8.5</v>
      </c>
      <c r="Q589" t="str">
        <f t="shared" si="82"/>
        <v>0588</v>
      </c>
      <c r="R589" t="str">
        <f>IF('RETAIL SALES DATA.'!H589&gt;AVERAGE('RETAIL SALES DATA.'!H589:H1588),"HIGHEST VALUE","LOWEST VALUE")</f>
        <v>LOWEST VALUE</v>
      </c>
      <c r="S589" t="str">
        <f t="shared" si="83"/>
        <v>Profit</v>
      </c>
      <c r="T589" t="str">
        <f t="shared" si="84"/>
        <v>Jessica Burch</v>
      </c>
      <c r="U589" t="str">
        <f t="shared" si="85"/>
        <v>Desk</v>
      </c>
      <c r="V589">
        <f t="shared" si="86"/>
        <v>2025</v>
      </c>
      <c r="W589">
        <f t="shared" si="87"/>
        <v>2</v>
      </c>
      <c r="X589">
        <f t="shared" si="88"/>
        <v>26</v>
      </c>
      <c r="Y589" t="str">
        <f t="shared" si="89"/>
        <v>Jan</v>
      </c>
      <c r="Z589">
        <f t="shared" si="90"/>
        <v>6</v>
      </c>
    </row>
    <row r="590" spans="1:26" ht="15.75" customHeight="1" x14ac:dyDescent="0.3">
      <c r="A590" s="2" t="s">
        <v>1448</v>
      </c>
      <c r="B590" s="2" t="s">
        <v>1449</v>
      </c>
      <c r="C590" s="2" t="s">
        <v>168</v>
      </c>
      <c r="D590" s="2" t="s">
        <v>43</v>
      </c>
      <c r="E590" s="2" t="s">
        <v>20</v>
      </c>
      <c r="F590" s="2">
        <v>20</v>
      </c>
      <c r="G590" s="2">
        <v>1253.5</v>
      </c>
      <c r="H590" s="2">
        <v>25070</v>
      </c>
      <c r="I590" s="2">
        <v>13979.68</v>
      </c>
      <c r="J590" s="2">
        <v>11090.32</v>
      </c>
      <c r="K590" s="3">
        <v>45755</v>
      </c>
      <c r="L590" s="3">
        <v>45765</v>
      </c>
      <c r="M590" s="2" t="s">
        <v>33</v>
      </c>
      <c r="N590" s="2">
        <v>2</v>
      </c>
      <c r="O590" s="2" t="s">
        <v>169</v>
      </c>
      <c r="P590" s="25">
        <v>6.7</v>
      </c>
      <c r="Q590" t="str">
        <f t="shared" si="82"/>
        <v>0589</v>
      </c>
      <c r="R590" t="str">
        <f>IF('RETAIL SALES DATA.'!H590&gt;AVERAGE('RETAIL SALES DATA.'!H590:H1589),"HIGHEST VALUE","LOWEST VALUE")</f>
        <v>LOWEST VALUE</v>
      </c>
      <c r="S590" t="str">
        <f t="shared" si="83"/>
        <v>Profit</v>
      </c>
      <c r="T590" t="str">
        <f t="shared" si="84"/>
        <v>Amanda Stevens</v>
      </c>
      <c r="U590" t="str">
        <f t="shared" si="85"/>
        <v>Keyboard</v>
      </c>
      <c r="V590">
        <f t="shared" si="86"/>
        <v>2025</v>
      </c>
      <c r="W590">
        <f t="shared" si="87"/>
        <v>4</v>
      </c>
      <c r="X590">
        <f t="shared" si="88"/>
        <v>8</v>
      </c>
      <c r="Y590" t="str">
        <f t="shared" si="89"/>
        <v>Apr</v>
      </c>
      <c r="Z590">
        <f t="shared" si="90"/>
        <v>10</v>
      </c>
    </row>
    <row r="591" spans="1:26" ht="15.75" customHeight="1" x14ac:dyDescent="0.3">
      <c r="A591" s="2" t="s">
        <v>1450</v>
      </c>
      <c r="B591" s="2" t="s">
        <v>1451</v>
      </c>
      <c r="C591" s="2" t="s">
        <v>144</v>
      </c>
      <c r="D591" s="2" t="s">
        <v>19</v>
      </c>
      <c r="E591" s="2" t="s">
        <v>25</v>
      </c>
      <c r="F591" s="2">
        <v>10</v>
      </c>
      <c r="G591" s="2">
        <v>3309.72</v>
      </c>
      <c r="H591" s="2">
        <v>33097.199999999997</v>
      </c>
      <c r="I591" s="2">
        <v>18179.419999999998</v>
      </c>
      <c r="J591" s="2">
        <v>14917.78</v>
      </c>
      <c r="K591" s="3">
        <v>46014</v>
      </c>
      <c r="L591" s="3">
        <v>46022</v>
      </c>
      <c r="M591" s="2" t="s">
        <v>45</v>
      </c>
      <c r="N591" s="2">
        <v>4</v>
      </c>
      <c r="O591" s="2" t="s">
        <v>117</v>
      </c>
      <c r="P591" s="25">
        <v>6.8</v>
      </c>
      <c r="Q591" t="str">
        <f t="shared" si="82"/>
        <v>0590</v>
      </c>
      <c r="R591" t="str">
        <f>IF('RETAIL SALES DATA.'!H591&gt;AVERAGE('RETAIL SALES DATA.'!H591:H1590),"HIGHEST VALUE","LOWEST VALUE")</f>
        <v>HIGHEST VALUE</v>
      </c>
      <c r="S591" t="str">
        <f t="shared" si="83"/>
        <v>Profit</v>
      </c>
      <c r="T591" t="str">
        <f t="shared" si="84"/>
        <v>Alan Clark</v>
      </c>
      <c r="U591" t="str">
        <f t="shared" si="85"/>
        <v>File</v>
      </c>
      <c r="V591">
        <f t="shared" si="86"/>
        <v>2025</v>
      </c>
      <c r="W591">
        <f t="shared" si="87"/>
        <v>12</v>
      </c>
      <c r="X591">
        <f t="shared" si="88"/>
        <v>23</v>
      </c>
      <c r="Y591" t="str">
        <f t="shared" si="89"/>
        <v>Dec</v>
      </c>
      <c r="Z591">
        <f t="shared" si="90"/>
        <v>8</v>
      </c>
    </row>
    <row r="592" spans="1:26" ht="15.75" customHeight="1" x14ac:dyDescent="0.3">
      <c r="A592" s="2" t="s">
        <v>1452</v>
      </c>
      <c r="B592" s="2" t="s">
        <v>1453</v>
      </c>
      <c r="C592" s="2" t="s">
        <v>139</v>
      </c>
      <c r="D592" s="2" t="s">
        <v>31</v>
      </c>
      <c r="E592" s="2" t="s">
        <v>25</v>
      </c>
      <c r="F592" s="2">
        <v>5</v>
      </c>
      <c r="G592" s="2">
        <v>2602.8000000000002</v>
      </c>
      <c r="H592" s="2">
        <v>13014</v>
      </c>
      <c r="I592" s="2">
        <v>7209.23</v>
      </c>
      <c r="J592" s="2">
        <v>5804.77</v>
      </c>
      <c r="K592" s="3">
        <v>46109</v>
      </c>
      <c r="L592" s="3">
        <v>46110</v>
      </c>
      <c r="M592" s="2" t="s">
        <v>123</v>
      </c>
      <c r="N592" s="2">
        <v>3</v>
      </c>
      <c r="O592" s="2" t="s">
        <v>591</v>
      </c>
      <c r="P592" s="25">
        <v>6.7</v>
      </c>
      <c r="Q592" t="str">
        <f t="shared" si="82"/>
        <v>0591</v>
      </c>
      <c r="R592" t="str">
        <f>IF('RETAIL SALES DATA.'!H592&gt;AVERAGE('RETAIL SALES DATA.'!H592:H1591),"HIGHEST VALUE","LOWEST VALUE")</f>
        <v>LOWEST VALUE</v>
      </c>
      <c r="S592" t="str">
        <f t="shared" si="83"/>
        <v>Profit</v>
      </c>
      <c r="T592" t="str">
        <f t="shared" si="84"/>
        <v>Jacob Harris</v>
      </c>
      <c r="U592" t="str">
        <f t="shared" si="85"/>
        <v>Sofa</v>
      </c>
      <c r="V592">
        <f t="shared" si="86"/>
        <v>2026</v>
      </c>
      <c r="W592">
        <f t="shared" si="87"/>
        <v>3</v>
      </c>
      <c r="X592">
        <f t="shared" si="88"/>
        <v>28</v>
      </c>
      <c r="Y592" t="str">
        <f t="shared" si="89"/>
        <v>Mar</v>
      </c>
      <c r="Z592">
        <f t="shared" si="90"/>
        <v>1</v>
      </c>
    </row>
    <row r="593" spans="1:26" ht="15.75" customHeight="1" x14ac:dyDescent="0.3">
      <c r="A593" s="2" t="s">
        <v>1454</v>
      </c>
      <c r="B593" s="2" t="s">
        <v>1455</v>
      </c>
      <c r="C593" s="2" t="s">
        <v>42</v>
      </c>
      <c r="D593" s="2" t="s">
        <v>43</v>
      </c>
      <c r="E593" s="2" t="s">
        <v>32</v>
      </c>
      <c r="F593" s="2">
        <v>2</v>
      </c>
      <c r="G593" s="2">
        <v>4508.13</v>
      </c>
      <c r="H593" s="2">
        <v>9016.26</v>
      </c>
      <c r="I593" s="2">
        <v>7848.06</v>
      </c>
      <c r="J593" s="2">
        <v>1168.2</v>
      </c>
      <c r="K593" s="3">
        <v>45470</v>
      </c>
      <c r="L593" s="3">
        <v>45478</v>
      </c>
      <c r="M593" s="2" t="s">
        <v>58</v>
      </c>
      <c r="N593" s="2">
        <v>5</v>
      </c>
      <c r="O593" s="2" t="s">
        <v>172</v>
      </c>
      <c r="P593" s="25">
        <v>8.9</v>
      </c>
      <c r="Q593" t="str">
        <f t="shared" si="82"/>
        <v>0592</v>
      </c>
      <c r="R593" t="str">
        <f>IF('RETAIL SALES DATA.'!H593&gt;AVERAGE('RETAIL SALES DATA.'!H593:H1592),"HIGHEST VALUE","LOWEST VALUE")</f>
        <v>LOWEST VALUE</v>
      </c>
      <c r="S593" t="str">
        <f t="shared" si="83"/>
        <v>Profit</v>
      </c>
      <c r="T593" t="str">
        <f t="shared" si="84"/>
        <v>Sarah Jackson</v>
      </c>
      <c r="U593" t="str">
        <f t="shared" si="85"/>
        <v>Laptop</v>
      </c>
      <c r="V593">
        <f t="shared" si="86"/>
        <v>2024</v>
      </c>
      <c r="W593">
        <f t="shared" si="87"/>
        <v>7</v>
      </c>
      <c r="X593">
        <f t="shared" si="88"/>
        <v>27</v>
      </c>
      <c r="Y593" t="str">
        <f t="shared" si="89"/>
        <v>Jun</v>
      </c>
      <c r="Z593">
        <f t="shared" si="90"/>
        <v>8</v>
      </c>
    </row>
    <row r="594" spans="1:26" ht="15.75" customHeight="1" x14ac:dyDescent="0.3">
      <c r="A594" s="2" t="s">
        <v>1456</v>
      </c>
      <c r="B594" s="2" t="s">
        <v>1457</v>
      </c>
      <c r="C594" s="2" t="s">
        <v>219</v>
      </c>
      <c r="D594" s="2" t="s">
        <v>43</v>
      </c>
      <c r="E594" s="2" t="s">
        <v>25</v>
      </c>
      <c r="F594" s="2">
        <v>15</v>
      </c>
      <c r="G594" s="2">
        <v>2576.59</v>
      </c>
      <c r="H594" s="2">
        <v>38648.85</v>
      </c>
      <c r="I594" s="2">
        <v>34325.879999999997</v>
      </c>
      <c r="J594" s="2">
        <v>4322.97</v>
      </c>
      <c r="K594" s="3">
        <v>45715</v>
      </c>
      <c r="L594" s="3">
        <v>45716</v>
      </c>
      <c r="M594" s="2" t="s">
        <v>21</v>
      </c>
      <c r="N594" s="2">
        <v>2</v>
      </c>
      <c r="O594" s="2" t="s">
        <v>591</v>
      </c>
      <c r="P594" s="25">
        <v>7.5</v>
      </c>
      <c r="Q594" t="str">
        <f t="shared" si="82"/>
        <v>0593</v>
      </c>
      <c r="R594" t="str">
        <f>IF('RETAIL SALES DATA.'!H594&gt;AVERAGE('RETAIL SALES DATA.'!H594:H1593),"HIGHEST VALUE","LOWEST VALUE")</f>
        <v>HIGHEST VALUE</v>
      </c>
      <c r="S594" t="str">
        <f t="shared" si="83"/>
        <v>Profit</v>
      </c>
      <c r="T594" t="str">
        <f t="shared" si="84"/>
        <v>Mrs. Patricia Gaines</v>
      </c>
      <c r="U594" t="str">
        <f t="shared" si="85"/>
        <v>Smartphone</v>
      </c>
      <c r="V594">
        <f t="shared" si="86"/>
        <v>2025</v>
      </c>
      <c r="W594">
        <f t="shared" si="87"/>
        <v>2</v>
      </c>
      <c r="X594">
        <f t="shared" si="88"/>
        <v>27</v>
      </c>
      <c r="Y594" t="str">
        <f t="shared" si="89"/>
        <v>Feb</v>
      </c>
      <c r="Z594">
        <f t="shared" si="90"/>
        <v>1</v>
      </c>
    </row>
    <row r="595" spans="1:26" ht="15.75" customHeight="1" x14ac:dyDescent="0.3">
      <c r="A595" s="2" t="s">
        <v>1458</v>
      </c>
      <c r="B595" s="2" t="s">
        <v>1459</v>
      </c>
      <c r="C595" s="2" t="s">
        <v>42</v>
      </c>
      <c r="D595" s="2" t="s">
        <v>43</v>
      </c>
      <c r="E595" s="2" t="s">
        <v>32</v>
      </c>
      <c r="F595" s="2">
        <v>6</v>
      </c>
      <c r="G595" s="2">
        <v>4528.32</v>
      </c>
      <c r="H595" s="2">
        <v>27169.919999999998</v>
      </c>
      <c r="I595" s="2">
        <v>22643.23</v>
      </c>
      <c r="J595" s="2">
        <v>4526.6899999999996</v>
      </c>
      <c r="K595" s="3">
        <v>45789</v>
      </c>
      <c r="L595" s="3">
        <v>45792</v>
      </c>
      <c r="M595" s="2" t="s">
        <v>50</v>
      </c>
      <c r="N595" s="2">
        <v>1</v>
      </c>
      <c r="O595" s="2" t="s">
        <v>1218</v>
      </c>
      <c r="P595" s="25">
        <v>6.9</v>
      </c>
      <c r="Q595" t="str">
        <f t="shared" si="82"/>
        <v>0594</v>
      </c>
      <c r="R595" t="str">
        <f>IF('RETAIL SALES DATA.'!H595&gt;AVERAGE('RETAIL SALES DATA.'!H595:H1594),"HIGHEST VALUE","LOWEST VALUE")</f>
        <v>HIGHEST VALUE</v>
      </c>
      <c r="S595" t="str">
        <f t="shared" si="83"/>
        <v>Profit</v>
      </c>
      <c r="T595" t="str">
        <f t="shared" si="84"/>
        <v>Jessica Hall</v>
      </c>
      <c r="U595" t="str">
        <f t="shared" si="85"/>
        <v>Laptop</v>
      </c>
      <c r="V595">
        <f t="shared" si="86"/>
        <v>2025</v>
      </c>
      <c r="W595">
        <f t="shared" si="87"/>
        <v>5</v>
      </c>
      <c r="X595">
        <f t="shared" si="88"/>
        <v>12</v>
      </c>
      <c r="Y595" t="str">
        <f t="shared" si="89"/>
        <v>May</v>
      </c>
      <c r="Z595">
        <f t="shared" si="90"/>
        <v>3</v>
      </c>
    </row>
    <row r="596" spans="1:26" ht="15.75" customHeight="1" x14ac:dyDescent="0.3">
      <c r="A596" s="2" t="s">
        <v>1460</v>
      </c>
      <c r="B596" s="2" t="s">
        <v>1461</v>
      </c>
      <c r="C596" s="2" t="s">
        <v>49</v>
      </c>
      <c r="D596" s="2" t="s">
        <v>43</v>
      </c>
      <c r="E596" s="2" t="s">
        <v>25</v>
      </c>
      <c r="F596" s="2">
        <v>6</v>
      </c>
      <c r="G596" s="2">
        <v>597.67999999999995</v>
      </c>
      <c r="H596" s="2">
        <v>3586.08</v>
      </c>
      <c r="I596" s="2">
        <v>2667.14</v>
      </c>
      <c r="J596" s="2">
        <v>918.94</v>
      </c>
      <c r="K596" s="3">
        <v>45805</v>
      </c>
      <c r="L596" s="3">
        <v>45808</v>
      </c>
      <c r="M596" s="2" t="s">
        <v>123</v>
      </c>
      <c r="N596" s="2">
        <v>1</v>
      </c>
      <c r="O596" s="2" t="s">
        <v>754</v>
      </c>
      <c r="P596" s="25">
        <v>6.7</v>
      </c>
      <c r="Q596" t="str">
        <f t="shared" si="82"/>
        <v>0595</v>
      </c>
      <c r="R596" t="str">
        <f>IF('RETAIL SALES DATA.'!H596&gt;AVERAGE('RETAIL SALES DATA.'!H596:H1595),"HIGHEST VALUE","LOWEST VALUE")</f>
        <v>LOWEST VALUE</v>
      </c>
      <c r="S596" t="str">
        <f t="shared" si="83"/>
        <v>Profit</v>
      </c>
      <c r="T596" t="str">
        <f t="shared" si="84"/>
        <v>Christina Thomas</v>
      </c>
      <c r="U596" t="str">
        <f t="shared" si="85"/>
        <v>Mouse</v>
      </c>
      <c r="V596">
        <f t="shared" si="86"/>
        <v>2025</v>
      </c>
      <c r="W596">
        <f t="shared" si="87"/>
        <v>5</v>
      </c>
      <c r="X596">
        <f t="shared" si="88"/>
        <v>28</v>
      </c>
      <c r="Y596" t="str">
        <f t="shared" si="89"/>
        <v>May</v>
      </c>
      <c r="Z596">
        <f t="shared" si="90"/>
        <v>3</v>
      </c>
    </row>
    <row r="597" spans="1:26" ht="15.75" customHeight="1" x14ac:dyDescent="0.3">
      <c r="A597" s="2" t="s">
        <v>1462</v>
      </c>
      <c r="B597" s="2" t="s">
        <v>1463</v>
      </c>
      <c r="C597" s="2" t="s">
        <v>18</v>
      </c>
      <c r="D597" s="2" t="s">
        <v>19</v>
      </c>
      <c r="E597" s="2" t="s">
        <v>32</v>
      </c>
      <c r="F597" s="2">
        <v>10</v>
      </c>
      <c r="G597" s="2">
        <v>3789.97</v>
      </c>
      <c r="H597" s="2">
        <v>37899.699999999997</v>
      </c>
      <c r="I597" s="2">
        <v>30796.51</v>
      </c>
      <c r="J597" s="2">
        <v>7103.19</v>
      </c>
      <c r="K597" s="3">
        <v>45982</v>
      </c>
      <c r="L597" s="3">
        <v>45983</v>
      </c>
      <c r="M597" s="2" t="s">
        <v>181</v>
      </c>
      <c r="N597" s="2">
        <v>4</v>
      </c>
      <c r="O597" s="2" t="s">
        <v>1086</v>
      </c>
      <c r="P597" s="25">
        <v>9.1</v>
      </c>
      <c r="Q597" t="str">
        <f t="shared" si="82"/>
        <v>0596</v>
      </c>
      <c r="R597" t="str">
        <f>IF('RETAIL SALES DATA.'!H597&gt;AVERAGE('RETAIL SALES DATA.'!H597:H1596),"HIGHEST VALUE","LOWEST VALUE")</f>
        <v>HIGHEST VALUE</v>
      </c>
      <c r="S597" t="str">
        <f t="shared" si="83"/>
        <v>Profit</v>
      </c>
      <c r="T597" t="str">
        <f t="shared" si="84"/>
        <v>Nicole Austin</v>
      </c>
      <c r="U597" t="str">
        <f t="shared" si="85"/>
        <v>Pen</v>
      </c>
      <c r="V597">
        <f t="shared" si="86"/>
        <v>2025</v>
      </c>
      <c r="W597">
        <f t="shared" si="87"/>
        <v>11</v>
      </c>
      <c r="X597">
        <f t="shared" si="88"/>
        <v>21</v>
      </c>
      <c r="Y597" t="str">
        <f t="shared" si="89"/>
        <v>Nov</v>
      </c>
      <c r="Z597">
        <f t="shared" si="90"/>
        <v>1</v>
      </c>
    </row>
    <row r="598" spans="1:26" ht="15.75" customHeight="1" x14ac:dyDescent="0.3">
      <c r="A598" s="2" t="s">
        <v>1464</v>
      </c>
      <c r="B598" s="2" t="s">
        <v>1465</v>
      </c>
      <c r="C598" s="2" t="s">
        <v>195</v>
      </c>
      <c r="D598" s="2" t="s">
        <v>43</v>
      </c>
      <c r="E598" s="2" t="s">
        <v>32</v>
      </c>
      <c r="F598" s="2">
        <v>10</v>
      </c>
      <c r="G598" s="2">
        <v>4445.45</v>
      </c>
      <c r="H598" s="2">
        <v>44454.5</v>
      </c>
      <c r="I598" s="2">
        <v>23942.9</v>
      </c>
      <c r="J598" s="2">
        <v>20511.599999999999</v>
      </c>
      <c r="K598" s="3">
        <v>45800</v>
      </c>
      <c r="L598" s="3">
        <v>45803</v>
      </c>
      <c r="M598" s="2" t="s">
        <v>26</v>
      </c>
      <c r="N598" s="2">
        <v>3</v>
      </c>
      <c r="O598" s="2" t="s">
        <v>1251</v>
      </c>
      <c r="P598" s="25">
        <v>6.8</v>
      </c>
      <c r="Q598" t="str">
        <f t="shared" si="82"/>
        <v>0597</v>
      </c>
      <c r="R598" t="str">
        <f>IF('RETAIL SALES DATA.'!H598&gt;AVERAGE('RETAIL SALES DATA.'!H598:H1597),"HIGHEST VALUE","LOWEST VALUE")</f>
        <v>HIGHEST VALUE</v>
      </c>
      <c r="S598" t="str">
        <f t="shared" si="83"/>
        <v>Profit</v>
      </c>
      <c r="T598" t="str">
        <f t="shared" si="84"/>
        <v>Catherine Shaw</v>
      </c>
      <c r="U598" t="str">
        <f t="shared" si="85"/>
        <v>Monitor</v>
      </c>
      <c r="V598">
        <f t="shared" si="86"/>
        <v>2025</v>
      </c>
      <c r="W598">
        <f t="shared" si="87"/>
        <v>5</v>
      </c>
      <c r="X598">
        <f t="shared" si="88"/>
        <v>23</v>
      </c>
      <c r="Y598" t="str">
        <f t="shared" si="89"/>
        <v>May</v>
      </c>
      <c r="Z598">
        <f t="shared" si="90"/>
        <v>3</v>
      </c>
    </row>
    <row r="599" spans="1:26" ht="15.75" customHeight="1" x14ac:dyDescent="0.3">
      <c r="A599" s="2" t="s">
        <v>1466</v>
      </c>
      <c r="B599" s="2" t="s">
        <v>1467</v>
      </c>
      <c r="C599" s="2" t="s">
        <v>195</v>
      </c>
      <c r="D599" s="2" t="s">
        <v>43</v>
      </c>
      <c r="E599" s="2" t="s">
        <v>20</v>
      </c>
      <c r="F599" s="2">
        <v>9</v>
      </c>
      <c r="G599" s="2">
        <v>1151.3900000000001</v>
      </c>
      <c r="H599" s="2">
        <v>10362.51</v>
      </c>
      <c r="I599" s="2">
        <v>9116.76</v>
      </c>
      <c r="J599" s="2">
        <v>1245.75</v>
      </c>
      <c r="K599" s="3">
        <v>46102</v>
      </c>
      <c r="L599" s="3">
        <v>46105</v>
      </c>
      <c r="M599" s="2" t="s">
        <v>58</v>
      </c>
      <c r="N599" s="2">
        <v>2</v>
      </c>
      <c r="O599" s="2" t="s">
        <v>46</v>
      </c>
      <c r="P599" s="25">
        <v>9.5</v>
      </c>
      <c r="Q599" t="str">
        <f t="shared" si="82"/>
        <v>0598</v>
      </c>
      <c r="R599" t="str">
        <f>IF('RETAIL SALES DATA.'!H599&gt;AVERAGE('RETAIL SALES DATA.'!H599:H1598),"HIGHEST VALUE","LOWEST VALUE")</f>
        <v>LOWEST VALUE</v>
      </c>
      <c r="S599" t="str">
        <f t="shared" si="83"/>
        <v>Profit</v>
      </c>
      <c r="T599" t="str">
        <f t="shared" si="84"/>
        <v>Caroline Taylor</v>
      </c>
      <c r="U599" t="str">
        <f t="shared" si="85"/>
        <v>Monitor</v>
      </c>
      <c r="V599">
        <f t="shared" si="86"/>
        <v>2026</v>
      </c>
      <c r="W599">
        <f t="shared" si="87"/>
        <v>3</v>
      </c>
      <c r="X599">
        <f t="shared" si="88"/>
        <v>21</v>
      </c>
      <c r="Y599" t="str">
        <f t="shared" si="89"/>
        <v>Mar</v>
      </c>
      <c r="Z599">
        <f t="shared" si="90"/>
        <v>3</v>
      </c>
    </row>
    <row r="600" spans="1:26" ht="15.75" customHeight="1" x14ac:dyDescent="0.3">
      <c r="A600" s="2" t="s">
        <v>1468</v>
      </c>
      <c r="B600" s="2" t="s">
        <v>1469</v>
      </c>
      <c r="C600" s="2" t="s">
        <v>62</v>
      </c>
      <c r="D600" s="2" t="s">
        <v>31</v>
      </c>
      <c r="E600" s="2" t="s">
        <v>32</v>
      </c>
      <c r="F600" s="2">
        <v>20</v>
      </c>
      <c r="G600" s="2">
        <v>2680.09</v>
      </c>
      <c r="H600" s="2">
        <v>53601.8</v>
      </c>
      <c r="I600" s="2">
        <v>44770.89</v>
      </c>
      <c r="J600" s="2">
        <v>8830.91</v>
      </c>
      <c r="K600" s="3">
        <v>46029</v>
      </c>
      <c r="L600" s="3">
        <v>46037</v>
      </c>
      <c r="M600" s="2" t="s">
        <v>38</v>
      </c>
      <c r="N600" s="2">
        <v>3</v>
      </c>
      <c r="O600" s="2" t="s">
        <v>370</v>
      </c>
      <c r="P600" s="25">
        <v>7.4</v>
      </c>
      <c r="Q600" t="str">
        <f t="shared" si="82"/>
        <v>0599</v>
      </c>
      <c r="R600" t="str">
        <f>IF('RETAIL SALES DATA.'!H600&gt;AVERAGE('RETAIL SALES DATA.'!H600:H1599),"HIGHEST VALUE","LOWEST VALUE")</f>
        <v>HIGHEST VALUE</v>
      </c>
      <c r="S600" t="str">
        <f t="shared" si="83"/>
        <v>Profit</v>
      </c>
      <c r="T600" t="str">
        <f t="shared" si="84"/>
        <v>Jordan Harris</v>
      </c>
      <c r="U600" t="str">
        <f t="shared" si="85"/>
        <v>Table</v>
      </c>
      <c r="V600">
        <f t="shared" si="86"/>
        <v>2026</v>
      </c>
      <c r="W600">
        <f t="shared" si="87"/>
        <v>1</v>
      </c>
      <c r="X600">
        <f t="shared" si="88"/>
        <v>7</v>
      </c>
      <c r="Y600" t="str">
        <f t="shared" si="89"/>
        <v>Jan</v>
      </c>
      <c r="Z600">
        <f t="shared" si="90"/>
        <v>8</v>
      </c>
    </row>
    <row r="601" spans="1:26" ht="15.75" customHeight="1" x14ac:dyDescent="0.3">
      <c r="A601" s="2" t="s">
        <v>1470</v>
      </c>
      <c r="B601" s="2" t="s">
        <v>1471</v>
      </c>
      <c r="C601" s="2" t="s">
        <v>62</v>
      </c>
      <c r="D601" s="2" t="s">
        <v>31</v>
      </c>
      <c r="E601" s="2" t="s">
        <v>20</v>
      </c>
      <c r="F601" s="2">
        <v>5</v>
      </c>
      <c r="G601" s="2">
        <v>4801.08</v>
      </c>
      <c r="H601" s="2">
        <v>24005.4</v>
      </c>
      <c r="I601" s="2">
        <v>12240.9</v>
      </c>
      <c r="J601" s="2">
        <v>11764.5</v>
      </c>
      <c r="K601" s="3">
        <v>45737</v>
      </c>
      <c r="L601" s="3">
        <v>45743</v>
      </c>
      <c r="M601" s="2" t="s">
        <v>50</v>
      </c>
      <c r="N601" s="2">
        <v>4</v>
      </c>
      <c r="O601" s="2" t="s">
        <v>1370</v>
      </c>
      <c r="P601" s="25">
        <v>8.9</v>
      </c>
      <c r="Q601" t="str">
        <f t="shared" si="82"/>
        <v>0600</v>
      </c>
      <c r="R601" t="str">
        <f>IF('RETAIL SALES DATA.'!H601&gt;AVERAGE('RETAIL SALES DATA.'!H601:H1600),"HIGHEST VALUE","LOWEST VALUE")</f>
        <v>LOWEST VALUE</v>
      </c>
      <c r="S601" t="str">
        <f t="shared" si="83"/>
        <v>Profit</v>
      </c>
      <c r="T601" t="str">
        <f t="shared" si="84"/>
        <v>Amber Shaw</v>
      </c>
      <c r="U601" t="str">
        <f t="shared" si="85"/>
        <v>Table</v>
      </c>
      <c r="V601">
        <f t="shared" si="86"/>
        <v>2025</v>
      </c>
      <c r="W601">
        <f t="shared" si="87"/>
        <v>3</v>
      </c>
      <c r="X601">
        <f t="shared" si="88"/>
        <v>21</v>
      </c>
      <c r="Y601" t="str">
        <f t="shared" si="89"/>
        <v>Mar</v>
      </c>
      <c r="Z601">
        <f t="shared" si="90"/>
        <v>6</v>
      </c>
    </row>
    <row r="602" spans="1:26" ht="15.75" customHeight="1" x14ac:dyDescent="0.3">
      <c r="A602" s="2" t="s">
        <v>1472</v>
      </c>
      <c r="B602" s="2" t="s">
        <v>1473</v>
      </c>
      <c r="C602" s="2" t="s">
        <v>37</v>
      </c>
      <c r="D602" s="2" t="s">
        <v>19</v>
      </c>
      <c r="E602" s="2" t="s">
        <v>44</v>
      </c>
      <c r="F602" s="2">
        <v>20</v>
      </c>
      <c r="G602" s="2">
        <v>4012.44</v>
      </c>
      <c r="H602" s="2">
        <v>80248.800000000003</v>
      </c>
      <c r="I602" s="2">
        <v>58135</v>
      </c>
      <c r="J602" s="2">
        <v>22113.8</v>
      </c>
      <c r="K602" s="3">
        <v>45870</v>
      </c>
      <c r="L602" s="3">
        <v>45871</v>
      </c>
      <c r="M602" s="2" t="s">
        <v>181</v>
      </c>
      <c r="N602" s="2">
        <v>5</v>
      </c>
      <c r="O602" s="2" t="s">
        <v>235</v>
      </c>
      <c r="P602" s="25">
        <v>8.4</v>
      </c>
      <c r="Q602" t="str">
        <f t="shared" si="82"/>
        <v>0601</v>
      </c>
      <c r="R602" t="str">
        <f>IF('RETAIL SALES DATA.'!H602&gt;AVERAGE('RETAIL SALES DATA.'!H602:H1601),"HIGHEST VALUE","LOWEST VALUE")</f>
        <v>HIGHEST VALUE</v>
      </c>
      <c r="S602" t="str">
        <f t="shared" si="83"/>
        <v>Profit</v>
      </c>
      <c r="T602" t="str">
        <f t="shared" si="84"/>
        <v>Tracy Harris</v>
      </c>
      <c r="U602" t="str">
        <f t="shared" si="85"/>
        <v>Marker</v>
      </c>
      <c r="V602">
        <f t="shared" si="86"/>
        <v>2025</v>
      </c>
      <c r="W602">
        <f t="shared" si="87"/>
        <v>8</v>
      </c>
      <c r="X602">
        <f t="shared" si="88"/>
        <v>1</v>
      </c>
      <c r="Y602" t="str">
        <f t="shared" si="89"/>
        <v>Aug</v>
      </c>
      <c r="Z602">
        <f t="shared" si="90"/>
        <v>1</v>
      </c>
    </row>
    <row r="603" spans="1:26" ht="15.75" customHeight="1" x14ac:dyDescent="0.3">
      <c r="A603" s="2" t="s">
        <v>1474</v>
      </c>
      <c r="B603" s="2" t="s">
        <v>1475</v>
      </c>
      <c r="C603" s="2" t="s">
        <v>42</v>
      </c>
      <c r="D603" s="2" t="s">
        <v>43</v>
      </c>
      <c r="E603" s="2" t="s">
        <v>32</v>
      </c>
      <c r="F603" s="2">
        <v>3</v>
      </c>
      <c r="G603" s="2">
        <v>807.31</v>
      </c>
      <c r="H603" s="2">
        <v>2421.9299999999998</v>
      </c>
      <c r="I603" s="2">
        <v>1779.43</v>
      </c>
      <c r="J603" s="2">
        <v>642.5</v>
      </c>
      <c r="K603" s="3">
        <v>45458</v>
      </c>
      <c r="L603" s="3">
        <v>45466</v>
      </c>
      <c r="M603" s="2" t="s">
        <v>69</v>
      </c>
      <c r="N603" s="2">
        <v>2</v>
      </c>
      <c r="O603" s="2" t="s">
        <v>111</v>
      </c>
      <c r="P603" s="25">
        <v>6</v>
      </c>
      <c r="Q603" t="str">
        <f t="shared" si="82"/>
        <v>0602</v>
      </c>
      <c r="R603" t="str">
        <f>IF('RETAIL SALES DATA.'!H603&gt;AVERAGE('RETAIL SALES DATA.'!H603:H1602),"HIGHEST VALUE","LOWEST VALUE")</f>
        <v>LOWEST VALUE</v>
      </c>
      <c r="S603" t="str">
        <f t="shared" si="83"/>
        <v>Profit</v>
      </c>
      <c r="T603" t="str">
        <f t="shared" si="84"/>
        <v>Timothy Kramer</v>
      </c>
      <c r="U603" t="str">
        <f t="shared" si="85"/>
        <v>Laptop</v>
      </c>
      <c r="V603">
        <f t="shared" si="86"/>
        <v>2024</v>
      </c>
      <c r="W603">
        <f t="shared" si="87"/>
        <v>6</v>
      </c>
      <c r="X603">
        <f t="shared" si="88"/>
        <v>15</v>
      </c>
      <c r="Y603" t="str">
        <f t="shared" si="89"/>
        <v>Jun</v>
      </c>
      <c r="Z603">
        <f t="shared" si="90"/>
        <v>8</v>
      </c>
    </row>
    <row r="604" spans="1:26" ht="15.75" customHeight="1" x14ac:dyDescent="0.3">
      <c r="A604" s="2" t="s">
        <v>1476</v>
      </c>
      <c r="B604" s="2" t="s">
        <v>1477</v>
      </c>
      <c r="C604" s="2" t="s">
        <v>139</v>
      </c>
      <c r="D604" s="2" t="s">
        <v>31</v>
      </c>
      <c r="E604" s="2" t="s">
        <v>20</v>
      </c>
      <c r="F604" s="2">
        <v>13</v>
      </c>
      <c r="G604" s="2">
        <v>2919.09</v>
      </c>
      <c r="H604" s="2">
        <v>37948.17</v>
      </c>
      <c r="I604" s="2">
        <v>19245.88</v>
      </c>
      <c r="J604" s="2">
        <v>18702.29</v>
      </c>
      <c r="K604" s="3">
        <v>45805</v>
      </c>
      <c r="L604" s="3">
        <v>45807</v>
      </c>
      <c r="M604" s="2" t="s">
        <v>69</v>
      </c>
      <c r="N604" s="2">
        <v>4</v>
      </c>
      <c r="O604" s="2" t="s">
        <v>509</v>
      </c>
      <c r="P604" s="25">
        <v>9.6999999999999993</v>
      </c>
      <c r="Q604" t="str">
        <f t="shared" si="82"/>
        <v>0603</v>
      </c>
      <c r="R604" t="str">
        <f>IF('RETAIL SALES DATA.'!H604&gt;AVERAGE('RETAIL SALES DATA.'!H604:H1603),"HIGHEST VALUE","LOWEST VALUE")</f>
        <v>HIGHEST VALUE</v>
      </c>
      <c r="S604" t="str">
        <f t="shared" si="83"/>
        <v>Profit</v>
      </c>
      <c r="T604" t="str">
        <f t="shared" si="84"/>
        <v>Dawn Collins</v>
      </c>
      <c r="U604" t="str">
        <f t="shared" si="85"/>
        <v>Sofa</v>
      </c>
      <c r="V604">
        <f t="shared" si="86"/>
        <v>2025</v>
      </c>
      <c r="W604">
        <f t="shared" si="87"/>
        <v>5</v>
      </c>
      <c r="X604">
        <f t="shared" si="88"/>
        <v>28</v>
      </c>
      <c r="Y604" t="str">
        <f t="shared" si="89"/>
        <v>May</v>
      </c>
      <c r="Z604">
        <f t="shared" si="90"/>
        <v>2</v>
      </c>
    </row>
    <row r="605" spans="1:26" ht="15.75" customHeight="1" x14ac:dyDescent="0.3">
      <c r="A605" s="2" t="s">
        <v>1478</v>
      </c>
      <c r="B605" s="2" t="s">
        <v>1479</v>
      </c>
      <c r="C605" s="2" t="s">
        <v>30</v>
      </c>
      <c r="D605" s="2" t="s">
        <v>31</v>
      </c>
      <c r="E605" s="2" t="s">
        <v>44</v>
      </c>
      <c r="F605" s="2">
        <v>14</v>
      </c>
      <c r="G605" s="2">
        <v>1489.61</v>
      </c>
      <c r="H605" s="2">
        <v>20854.54</v>
      </c>
      <c r="I605" s="2">
        <v>12799.75</v>
      </c>
      <c r="J605" s="2">
        <v>8054.79</v>
      </c>
      <c r="K605" s="3">
        <v>45845</v>
      </c>
      <c r="L605" s="3">
        <v>45855</v>
      </c>
      <c r="M605" s="2" t="s">
        <v>58</v>
      </c>
      <c r="N605" s="2">
        <v>4</v>
      </c>
      <c r="O605" s="2" t="s">
        <v>496</v>
      </c>
      <c r="P605" s="25">
        <v>8.9</v>
      </c>
      <c r="Q605" t="str">
        <f t="shared" si="82"/>
        <v>0604</v>
      </c>
      <c r="R605" t="str">
        <f>IF('RETAIL SALES DATA.'!H605&gt;AVERAGE('RETAIL SALES DATA.'!H605:H1604),"HIGHEST VALUE","LOWEST VALUE")</f>
        <v>LOWEST VALUE</v>
      </c>
      <c r="S605" t="str">
        <f t="shared" si="83"/>
        <v>Profit</v>
      </c>
      <c r="T605" t="str">
        <f t="shared" si="84"/>
        <v>Kevin Lewis</v>
      </c>
      <c r="U605" t="str">
        <f t="shared" si="85"/>
        <v>Desk</v>
      </c>
      <c r="V605">
        <f t="shared" si="86"/>
        <v>2025</v>
      </c>
      <c r="W605">
        <f t="shared" si="87"/>
        <v>7</v>
      </c>
      <c r="X605">
        <f t="shared" si="88"/>
        <v>7</v>
      </c>
      <c r="Y605" t="str">
        <f t="shared" si="89"/>
        <v>Jul</v>
      </c>
      <c r="Z605">
        <f t="shared" si="90"/>
        <v>10</v>
      </c>
    </row>
    <row r="606" spans="1:26" ht="15.75" customHeight="1" x14ac:dyDescent="0.3">
      <c r="A606" s="2" t="s">
        <v>1480</v>
      </c>
      <c r="B606" s="2" t="s">
        <v>1481</v>
      </c>
      <c r="C606" s="2" t="s">
        <v>49</v>
      </c>
      <c r="D606" s="2" t="s">
        <v>43</v>
      </c>
      <c r="E606" s="2" t="s">
        <v>32</v>
      </c>
      <c r="F606" s="2">
        <v>6</v>
      </c>
      <c r="G606" s="2">
        <v>334.78</v>
      </c>
      <c r="H606" s="2">
        <v>2008.68</v>
      </c>
      <c r="I606" s="2">
        <v>1527.21</v>
      </c>
      <c r="J606" s="2">
        <v>481.47</v>
      </c>
      <c r="K606" s="3">
        <v>45699</v>
      </c>
      <c r="L606" s="3">
        <v>45704</v>
      </c>
      <c r="M606" s="2" t="s">
        <v>50</v>
      </c>
      <c r="N606" s="2">
        <v>4</v>
      </c>
      <c r="O606" s="2" t="s">
        <v>486</v>
      </c>
      <c r="P606" s="25">
        <v>8.1999999999999993</v>
      </c>
      <c r="Q606" t="str">
        <f t="shared" si="82"/>
        <v>0605</v>
      </c>
      <c r="R606" t="str">
        <f>IF('RETAIL SALES DATA.'!H606&gt;AVERAGE('RETAIL SALES DATA.'!H606:H1605),"HIGHEST VALUE","LOWEST VALUE")</f>
        <v>LOWEST VALUE</v>
      </c>
      <c r="S606" t="str">
        <f t="shared" si="83"/>
        <v>Profit</v>
      </c>
      <c r="T606" t="str">
        <f t="shared" si="84"/>
        <v>Denise Jones</v>
      </c>
      <c r="U606" t="str">
        <f t="shared" si="85"/>
        <v>Mouse</v>
      </c>
      <c r="V606">
        <f t="shared" si="86"/>
        <v>2025</v>
      </c>
      <c r="W606">
        <f t="shared" si="87"/>
        <v>2</v>
      </c>
      <c r="X606">
        <f t="shared" si="88"/>
        <v>11</v>
      </c>
      <c r="Y606" t="str">
        <f t="shared" si="89"/>
        <v>Feb</v>
      </c>
      <c r="Z606">
        <f t="shared" si="90"/>
        <v>5</v>
      </c>
    </row>
    <row r="607" spans="1:26" ht="15.75" customHeight="1" x14ac:dyDescent="0.3">
      <c r="A607" s="2" t="s">
        <v>1482</v>
      </c>
      <c r="B607" s="2" t="s">
        <v>1483</v>
      </c>
      <c r="C607" s="2" t="s">
        <v>62</v>
      </c>
      <c r="D607" s="2" t="s">
        <v>31</v>
      </c>
      <c r="E607" s="2" t="s">
        <v>44</v>
      </c>
      <c r="F607" s="2">
        <v>15</v>
      </c>
      <c r="G607" s="2">
        <v>2500.42</v>
      </c>
      <c r="H607" s="2">
        <v>37506.300000000003</v>
      </c>
      <c r="I607" s="2">
        <v>26231.14</v>
      </c>
      <c r="J607" s="2">
        <v>11275.16</v>
      </c>
      <c r="K607" s="3">
        <v>46121</v>
      </c>
      <c r="L607" s="3">
        <v>46128</v>
      </c>
      <c r="M607" s="2" t="s">
        <v>181</v>
      </c>
      <c r="N607" s="2">
        <v>3</v>
      </c>
      <c r="O607" s="2" t="s">
        <v>1218</v>
      </c>
      <c r="P607" s="25">
        <v>9</v>
      </c>
      <c r="Q607" t="str">
        <f t="shared" si="82"/>
        <v>0606</v>
      </c>
      <c r="R607" t="str">
        <f>IF('RETAIL SALES DATA.'!H607&gt;AVERAGE('RETAIL SALES DATA.'!H607:H1606),"HIGHEST VALUE","LOWEST VALUE")</f>
        <v>HIGHEST VALUE</v>
      </c>
      <c r="S607" t="str">
        <f t="shared" si="83"/>
        <v>Profit</v>
      </c>
      <c r="T607" t="str">
        <f t="shared" si="84"/>
        <v>Michael Gamble</v>
      </c>
      <c r="U607" t="str">
        <f t="shared" si="85"/>
        <v>Table</v>
      </c>
      <c r="V607">
        <f t="shared" si="86"/>
        <v>2026</v>
      </c>
      <c r="W607">
        <f t="shared" si="87"/>
        <v>4</v>
      </c>
      <c r="X607">
        <f t="shared" si="88"/>
        <v>9</v>
      </c>
      <c r="Y607" t="str">
        <f t="shared" si="89"/>
        <v>Apr</v>
      </c>
      <c r="Z607">
        <f t="shared" si="90"/>
        <v>7</v>
      </c>
    </row>
    <row r="608" spans="1:26" ht="15.75" customHeight="1" x14ac:dyDescent="0.3">
      <c r="A608" s="2" t="s">
        <v>1484</v>
      </c>
      <c r="B608" s="2" t="s">
        <v>1485</v>
      </c>
      <c r="C608" s="2" t="s">
        <v>42</v>
      </c>
      <c r="D608" s="2" t="s">
        <v>43</v>
      </c>
      <c r="E608" s="2" t="s">
        <v>25</v>
      </c>
      <c r="F608" s="2">
        <v>4</v>
      </c>
      <c r="G608" s="2">
        <v>382.44</v>
      </c>
      <c r="H608" s="2">
        <v>1529.76</v>
      </c>
      <c r="I608" s="2">
        <v>1344.54</v>
      </c>
      <c r="J608" s="2">
        <v>185.22</v>
      </c>
      <c r="K608" s="3">
        <v>45539</v>
      </c>
      <c r="L608" s="3">
        <v>45549</v>
      </c>
      <c r="M608" s="2" t="s">
        <v>123</v>
      </c>
      <c r="N608" s="2">
        <v>5</v>
      </c>
      <c r="O608" s="2" t="s">
        <v>480</v>
      </c>
      <c r="P608" s="25">
        <v>7.2</v>
      </c>
      <c r="Q608" t="str">
        <f t="shared" si="82"/>
        <v>0607</v>
      </c>
      <c r="R608" t="str">
        <f>IF('RETAIL SALES DATA.'!H608&gt;AVERAGE('RETAIL SALES DATA.'!H608:H1607),"HIGHEST VALUE","LOWEST VALUE")</f>
        <v>LOWEST VALUE</v>
      </c>
      <c r="S608" t="str">
        <f t="shared" si="83"/>
        <v>Profit</v>
      </c>
      <c r="T608" t="str">
        <f t="shared" si="84"/>
        <v>Adam Marshall</v>
      </c>
      <c r="U608" t="str">
        <f t="shared" si="85"/>
        <v>Laptop</v>
      </c>
      <c r="V608">
        <f t="shared" si="86"/>
        <v>2024</v>
      </c>
      <c r="W608">
        <f t="shared" si="87"/>
        <v>9</v>
      </c>
      <c r="X608">
        <f t="shared" si="88"/>
        <v>4</v>
      </c>
      <c r="Y608" t="str">
        <f t="shared" si="89"/>
        <v>Sep</v>
      </c>
      <c r="Z608">
        <f t="shared" si="90"/>
        <v>10</v>
      </c>
    </row>
    <row r="609" spans="1:26" ht="15.75" customHeight="1" x14ac:dyDescent="0.3">
      <c r="A609" s="2" t="s">
        <v>1486</v>
      </c>
      <c r="B609" s="2" t="s">
        <v>1487</v>
      </c>
      <c r="C609" s="2" t="s">
        <v>95</v>
      </c>
      <c r="D609" s="2" t="s">
        <v>19</v>
      </c>
      <c r="E609" s="2" t="s">
        <v>44</v>
      </c>
      <c r="F609" s="2">
        <v>3</v>
      </c>
      <c r="G609" s="2">
        <v>849.2</v>
      </c>
      <c r="H609" s="2">
        <v>2547.6</v>
      </c>
      <c r="I609" s="2">
        <v>1800.36</v>
      </c>
      <c r="J609" s="2">
        <v>747.24</v>
      </c>
      <c r="K609" s="3">
        <v>45474</v>
      </c>
      <c r="L609" s="3">
        <v>45480</v>
      </c>
      <c r="M609" s="2" t="s">
        <v>26</v>
      </c>
      <c r="N609" s="2">
        <v>2</v>
      </c>
      <c r="O609" s="2" t="s">
        <v>276</v>
      </c>
      <c r="P609" s="25">
        <v>7</v>
      </c>
      <c r="Q609" t="str">
        <f t="shared" si="82"/>
        <v>0608</v>
      </c>
      <c r="R609" t="str">
        <f>IF('RETAIL SALES DATA.'!H609&gt;AVERAGE('RETAIL SALES DATA.'!H609:H1608),"HIGHEST VALUE","LOWEST VALUE")</f>
        <v>LOWEST VALUE</v>
      </c>
      <c r="S609" t="str">
        <f t="shared" si="83"/>
        <v>Profit</v>
      </c>
      <c r="T609" t="str">
        <f t="shared" si="84"/>
        <v>Patricia Bartlett</v>
      </c>
      <c r="U609" t="str">
        <f t="shared" si="85"/>
        <v>Printer</v>
      </c>
      <c r="V609">
        <f t="shared" si="86"/>
        <v>2024</v>
      </c>
      <c r="W609">
        <f t="shared" si="87"/>
        <v>7</v>
      </c>
      <c r="X609">
        <f t="shared" si="88"/>
        <v>1</v>
      </c>
      <c r="Y609" t="str">
        <f t="shared" si="89"/>
        <v>Jul</v>
      </c>
      <c r="Z609">
        <f t="shared" si="90"/>
        <v>6</v>
      </c>
    </row>
    <row r="610" spans="1:26" ht="15.75" customHeight="1" x14ac:dyDescent="0.3">
      <c r="A610" s="2" t="s">
        <v>1488</v>
      </c>
      <c r="B610" s="2" t="s">
        <v>1489</v>
      </c>
      <c r="C610" s="2" t="s">
        <v>88</v>
      </c>
      <c r="D610" s="2" t="s">
        <v>31</v>
      </c>
      <c r="E610" s="2" t="s">
        <v>32</v>
      </c>
      <c r="F610" s="2">
        <v>20</v>
      </c>
      <c r="G610" s="2">
        <v>3329.85</v>
      </c>
      <c r="H610" s="2">
        <v>66597</v>
      </c>
      <c r="I610" s="2">
        <v>43795.49</v>
      </c>
      <c r="J610" s="2">
        <v>22801.51</v>
      </c>
      <c r="K610" s="3">
        <v>45661</v>
      </c>
      <c r="L610" s="3">
        <v>45665</v>
      </c>
      <c r="M610" s="2" t="s">
        <v>123</v>
      </c>
      <c r="N610" s="2">
        <v>1</v>
      </c>
      <c r="O610" s="2" t="s">
        <v>554</v>
      </c>
      <c r="P610" s="25">
        <v>9.3000000000000007</v>
      </c>
      <c r="Q610" t="str">
        <f t="shared" si="82"/>
        <v>0609</v>
      </c>
      <c r="R610" t="str">
        <f>IF('RETAIL SALES DATA.'!H610&gt;AVERAGE('RETAIL SALES DATA.'!H610:H1609),"HIGHEST VALUE","LOWEST VALUE")</f>
        <v>HIGHEST VALUE</v>
      </c>
      <c r="S610" t="str">
        <f t="shared" si="83"/>
        <v>Profit</v>
      </c>
      <c r="T610" t="str">
        <f t="shared" si="84"/>
        <v>Frank Wilson</v>
      </c>
      <c r="U610" t="str">
        <f t="shared" si="85"/>
        <v>Cupboard</v>
      </c>
      <c r="V610">
        <f t="shared" si="86"/>
        <v>2025</v>
      </c>
      <c r="W610">
        <f t="shared" si="87"/>
        <v>1</v>
      </c>
      <c r="X610">
        <f t="shared" si="88"/>
        <v>4</v>
      </c>
      <c r="Y610" t="str">
        <f t="shared" si="89"/>
        <v>Jan</v>
      </c>
      <c r="Z610">
        <f t="shared" si="90"/>
        <v>4</v>
      </c>
    </row>
    <row r="611" spans="1:26" ht="15.75" customHeight="1" x14ac:dyDescent="0.3">
      <c r="A611" s="2" t="s">
        <v>1490</v>
      </c>
      <c r="B611" s="2" t="s">
        <v>1491</v>
      </c>
      <c r="C611" s="2" t="s">
        <v>144</v>
      </c>
      <c r="D611" s="2" t="s">
        <v>19</v>
      </c>
      <c r="E611" s="2" t="s">
        <v>44</v>
      </c>
      <c r="F611" s="2">
        <v>1</v>
      </c>
      <c r="G611" s="2">
        <v>4969.12</v>
      </c>
      <c r="H611" s="2">
        <v>4969.12</v>
      </c>
      <c r="I611" s="2">
        <v>4406.17</v>
      </c>
      <c r="J611" s="2">
        <v>562.95000000000005</v>
      </c>
      <c r="K611" s="3">
        <v>45674</v>
      </c>
      <c r="L611" s="3">
        <v>45679</v>
      </c>
      <c r="M611" s="2" t="s">
        <v>33</v>
      </c>
      <c r="N611" s="2">
        <v>3</v>
      </c>
      <c r="O611" s="2" t="s">
        <v>1057</v>
      </c>
      <c r="P611" s="25">
        <v>6.4</v>
      </c>
      <c r="Q611" t="str">
        <f t="shared" si="82"/>
        <v>0610</v>
      </c>
      <c r="R611" t="str">
        <f>IF('RETAIL SALES DATA.'!H611&gt;AVERAGE('RETAIL SALES DATA.'!H611:H1610),"HIGHEST VALUE","LOWEST VALUE")</f>
        <v>LOWEST VALUE</v>
      </c>
      <c r="S611" t="str">
        <f t="shared" si="83"/>
        <v>Profit</v>
      </c>
      <c r="T611" t="str">
        <f t="shared" si="84"/>
        <v>Martin Zuniga</v>
      </c>
      <c r="U611" t="str">
        <f t="shared" si="85"/>
        <v>File</v>
      </c>
      <c r="V611">
        <f t="shared" si="86"/>
        <v>2025</v>
      </c>
      <c r="W611">
        <f t="shared" si="87"/>
        <v>1</v>
      </c>
      <c r="X611">
        <f t="shared" si="88"/>
        <v>17</v>
      </c>
      <c r="Y611" t="str">
        <f t="shared" si="89"/>
        <v>Jan</v>
      </c>
      <c r="Z611">
        <f t="shared" si="90"/>
        <v>5</v>
      </c>
    </row>
    <row r="612" spans="1:26" ht="15.75" customHeight="1" x14ac:dyDescent="0.3">
      <c r="A612" s="2" t="s">
        <v>1492</v>
      </c>
      <c r="B612" s="2" t="s">
        <v>1493</v>
      </c>
      <c r="C612" s="2" t="s">
        <v>18</v>
      </c>
      <c r="D612" s="2" t="s">
        <v>19</v>
      </c>
      <c r="E612" s="2" t="s">
        <v>25</v>
      </c>
      <c r="F612" s="2">
        <v>14</v>
      </c>
      <c r="G612" s="2">
        <v>420.18</v>
      </c>
      <c r="H612" s="2">
        <v>5882.52</v>
      </c>
      <c r="I612" s="2">
        <v>3533.7</v>
      </c>
      <c r="J612" s="2">
        <v>2348.8200000000002</v>
      </c>
      <c r="K612" s="3">
        <v>45804</v>
      </c>
      <c r="L612" s="3">
        <v>45813</v>
      </c>
      <c r="M612" s="2" t="s">
        <v>33</v>
      </c>
      <c r="N612" s="2">
        <v>5</v>
      </c>
      <c r="O612" s="2" t="s">
        <v>607</v>
      </c>
      <c r="P612" s="25">
        <v>7.7</v>
      </c>
      <c r="Q612" t="str">
        <f t="shared" si="82"/>
        <v>0611</v>
      </c>
      <c r="R612" t="str">
        <f>IF('RETAIL SALES DATA.'!H612&gt;AVERAGE('RETAIL SALES DATA.'!H612:H1611),"HIGHEST VALUE","LOWEST VALUE")</f>
        <v>LOWEST VALUE</v>
      </c>
      <c r="S612" t="str">
        <f t="shared" si="83"/>
        <v>Profit</v>
      </c>
      <c r="T612" t="str">
        <f t="shared" si="84"/>
        <v>Michelle Bush</v>
      </c>
      <c r="U612" t="str">
        <f t="shared" si="85"/>
        <v>Pen</v>
      </c>
      <c r="V612">
        <f t="shared" si="86"/>
        <v>2025</v>
      </c>
      <c r="W612">
        <f t="shared" si="87"/>
        <v>6</v>
      </c>
      <c r="X612">
        <f t="shared" si="88"/>
        <v>27</v>
      </c>
      <c r="Y612" t="str">
        <f t="shared" si="89"/>
        <v>May</v>
      </c>
      <c r="Z612">
        <f t="shared" si="90"/>
        <v>9</v>
      </c>
    </row>
    <row r="613" spans="1:26" ht="15.75" customHeight="1" x14ac:dyDescent="0.3">
      <c r="A613" s="2" t="s">
        <v>1494</v>
      </c>
      <c r="B613" s="2" t="s">
        <v>1495</v>
      </c>
      <c r="C613" s="2" t="s">
        <v>219</v>
      </c>
      <c r="D613" s="2" t="s">
        <v>43</v>
      </c>
      <c r="E613" s="2" t="s">
        <v>32</v>
      </c>
      <c r="F613" s="2">
        <v>3</v>
      </c>
      <c r="G613" s="2">
        <v>3782.86</v>
      </c>
      <c r="H613" s="2">
        <v>11348.58</v>
      </c>
      <c r="I613" s="2">
        <v>6469.81</v>
      </c>
      <c r="J613" s="2">
        <v>4878.7700000000004</v>
      </c>
      <c r="K613" s="3">
        <v>45513</v>
      </c>
      <c r="L613" s="3">
        <v>45518</v>
      </c>
      <c r="M613" s="2" t="s">
        <v>58</v>
      </c>
      <c r="N613" s="2">
        <v>4</v>
      </c>
      <c r="O613" s="2" t="s">
        <v>375</v>
      </c>
      <c r="P613" s="25">
        <v>6.8</v>
      </c>
      <c r="Q613" t="str">
        <f t="shared" si="82"/>
        <v>0612</v>
      </c>
      <c r="R613" t="str">
        <f>IF('RETAIL SALES DATA.'!H613&gt;AVERAGE('RETAIL SALES DATA.'!H613:H1612),"HIGHEST VALUE","LOWEST VALUE")</f>
        <v>LOWEST VALUE</v>
      </c>
      <c r="S613" t="str">
        <f t="shared" si="83"/>
        <v>Profit</v>
      </c>
      <c r="T613" t="str">
        <f t="shared" si="84"/>
        <v>Maxwell Cox</v>
      </c>
      <c r="U613" t="str">
        <f t="shared" si="85"/>
        <v>Smartphone</v>
      </c>
      <c r="V613">
        <f t="shared" si="86"/>
        <v>2024</v>
      </c>
      <c r="W613">
        <f t="shared" si="87"/>
        <v>8</v>
      </c>
      <c r="X613">
        <f t="shared" si="88"/>
        <v>9</v>
      </c>
      <c r="Y613" t="str">
        <f t="shared" si="89"/>
        <v>Aug</v>
      </c>
      <c r="Z613">
        <f t="shared" si="90"/>
        <v>5</v>
      </c>
    </row>
    <row r="614" spans="1:26" ht="15.75" customHeight="1" x14ac:dyDescent="0.3">
      <c r="A614" s="2" t="s">
        <v>1496</v>
      </c>
      <c r="B614" s="2" t="s">
        <v>1497</v>
      </c>
      <c r="C614" s="2" t="s">
        <v>62</v>
      </c>
      <c r="D614" s="2" t="s">
        <v>31</v>
      </c>
      <c r="E614" s="2" t="s">
        <v>32</v>
      </c>
      <c r="F614" s="2">
        <v>7</v>
      </c>
      <c r="G614" s="2">
        <v>1937.29</v>
      </c>
      <c r="H614" s="2">
        <v>13561.03</v>
      </c>
      <c r="I614" s="2">
        <v>7686.5</v>
      </c>
      <c r="J614" s="2">
        <v>5874.53</v>
      </c>
      <c r="K614" s="3">
        <v>46046</v>
      </c>
      <c r="L614" s="3">
        <v>46055</v>
      </c>
      <c r="M614" s="2" t="s">
        <v>33</v>
      </c>
      <c r="N614" s="2">
        <v>5</v>
      </c>
      <c r="O614" s="2" t="s">
        <v>79</v>
      </c>
      <c r="P614" s="25">
        <v>7</v>
      </c>
      <c r="Q614" t="str">
        <f t="shared" si="82"/>
        <v>0613</v>
      </c>
      <c r="R614" t="str">
        <f>IF('RETAIL SALES DATA.'!H614&gt;AVERAGE('RETAIL SALES DATA.'!H614:H1613),"HIGHEST VALUE","LOWEST VALUE")</f>
        <v>LOWEST VALUE</v>
      </c>
      <c r="S614" t="str">
        <f t="shared" si="83"/>
        <v>Profit</v>
      </c>
      <c r="T614" t="str">
        <f t="shared" si="84"/>
        <v>Grace Anderson</v>
      </c>
      <c r="U614" t="str">
        <f t="shared" si="85"/>
        <v>Table</v>
      </c>
      <c r="V614">
        <f t="shared" si="86"/>
        <v>2026</v>
      </c>
      <c r="W614">
        <f t="shared" si="87"/>
        <v>2</v>
      </c>
      <c r="X614">
        <f t="shared" si="88"/>
        <v>24</v>
      </c>
      <c r="Y614" t="str">
        <f t="shared" si="89"/>
        <v>Jan</v>
      </c>
      <c r="Z614">
        <f t="shared" si="90"/>
        <v>9</v>
      </c>
    </row>
    <row r="615" spans="1:26" ht="15.75" customHeight="1" x14ac:dyDescent="0.3">
      <c r="A615" s="2" t="s">
        <v>1498</v>
      </c>
      <c r="B615" s="2" t="s">
        <v>1499</v>
      </c>
      <c r="C615" s="2" t="s">
        <v>37</v>
      </c>
      <c r="D615" s="2" t="s">
        <v>19</v>
      </c>
      <c r="E615" s="2" t="s">
        <v>20</v>
      </c>
      <c r="F615" s="2">
        <v>5</v>
      </c>
      <c r="G615" s="2">
        <v>1810.79</v>
      </c>
      <c r="H615" s="2">
        <v>9053.9500000000007</v>
      </c>
      <c r="I615" s="2">
        <v>7516.81</v>
      </c>
      <c r="J615" s="2">
        <v>1537.14</v>
      </c>
      <c r="K615" s="3">
        <v>45666</v>
      </c>
      <c r="L615" s="3">
        <v>45669</v>
      </c>
      <c r="M615" s="2" t="s">
        <v>123</v>
      </c>
      <c r="N615" s="2">
        <v>2</v>
      </c>
      <c r="O615" s="2" t="s">
        <v>362</v>
      </c>
      <c r="P615" s="25">
        <v>7.4</v>
      </c>
      <c r="Q615" t="str">
        <f t="shared" si="82"/>
        <v>0614</v>
      </c>
      <c r="R615" t="str">
        <f>IF('RETAIL SALES DATA.'!H615&gt;AVERAGE('RETAIL SALES DATA.'!H615:H1614),"HIGHEST VALUE","LOWEST VALUE")</f>
        <v>LOWEST VALUE</v>
      </c>
      <c r="S615" t="str">
        <f t="shared" si="83"/>
        <v>Profit</v>
      </c>
      <c r="T615" t="str">
        <f t="shared" si="84"/>
        <v>Brett Palmer Dds</v>
      </c>
      <c r="U615" t="str">
        <f t="shared" si="85"/>
        <v>Marker</v>
      </c>
      <c r="V615">
        <f t="shared" si="86"/>
        <v>2025</v>
      </c>
      <c r="W615">
        <f t="shared" si="87"/>
        <v>1</v>
      </c>
      <c r="X615">
        <f t="shared" si="88"/>
        <v>9</v>
      </c>
      <c r="Y615" t="str">
        <f t="shared" si="89"/>
        <v>Jan</v>
      </c>
      <c r="Z615">
        <f t="shared" si="90"/>
        <v>3</v>
      </c>
    </row>
    <row r="616" spans="1:26" ht="15.75" customHeight="1" x14ac:dyDescent="0.3">
      <c r="A616" s="2" t="s">
        <v>1500</v>
      </c>
      <c r="B616" s="2" t="s">
        <v>1501</v>
      </c>
      <c r="C616" s="2" t="s">
        <v>62</v>
      </c>
      <c r="D616" s="2" t="s">
        <v>31</v>
      </c>
      <c r="E616" s="2" t="s">
        <v>44</v>
      </c>
      <c r="F616" s="2">
        <v>14</v>
      </c>
      <c r="G616" s="2">
        <v>4850.0200000000004</v>
      </c>
      <c r="H616" s="2">
        <v>67900.28</v>
      </c>
      <c r="I616" s="2">
        <v>48500.02</v>
      </c>
      <c r="J616" s="2">
        <v>19400.259999999998</v>
      </c>
      <c r="K616" s="3">
        <v>45732</v>
      </c>
      <c r="L616" s="3">
        <v>45742</v>
      </c>
      <c r="M616" s="2" t="s">
        <v>69</v>
      </c>
      <c r="N616" s="2">
        <v>3</v>
      </c>
      <c r="O616" s="2" t="s">
        <v>645</v>
      </c>
      <c r="P616" s="25">
        <v>7.6</v>
      </c>
      <c r="Q616" t="str">
        <f t="shared" si="82"/>
        <v>0615</v>
      </c>
      <c r="R616" t="str">
        <f>IF('RETAIL SALES DATA.'!H616&gt;AVERAGE('RETAIL SALES DATA.'!H616:H1615),"HIGHEST VALUE","LOWEST VALUE")</f>
        <v>HIGHEST VALUE</v>
      </c>
      <c r="S616" t="str">
        <f t="shared" si="83"/>
        <v>Profit</v>
      </c>
      <c r="T616" t="str">
        <f t="shared" si="84"/>
        <v>Richard Allen</v>
      </c>
      <c r="U616" t="str">
        <f t="shared" si="85"/>
        <v>Table</v>
      </c>
      <c r="V616">
        <f t="shared" si="86"/>
        <v>2025</v>
      </c>
      <c r="W616">
        <f t="shared" si="87"/>
        <v>3</v>
      </c>
      <c r="X616">
        <f t="shared" si="88"/>
        <v>16</v>
      </c>
      <c r="Y616" t="str">
        <f t="shared" si="89"/>
        <v>Mar</v>
      </c>
      <c r="Z616">
        <f t="shared" si="90"/>
        <v>10</v>
      </c>
    </row>
    <row r="617" spans="1:26" ht="15.75" customHeight="1" x14ac:dyDescent="0.3">
      <c r="A617" s="2" t="s">
        <v>1502</v>
      </c>
      <c r="B617" s="2" t="s">
        <v>1503</v>
      </c>
      <c r="C617" s="2" t="s">
        <v>144</v>
      </c>
      <c r="D617" s="2" t="s">
        <v>19</v>
      </c>
      <c r="E617" s="2" t="s">
        <v>20</v>
      </c>
      <c r="F617" s="2">
        <v>14</v>
      </c>
      <c r="G617" s="2">
        <v>3944.45</v>
      </c>
      <c r="H617" s="2">
        <v>55222.3</v>
      </c>
      <c r="I617" s="2">
        <v>41837.78</v>
      </c>
      <c r="J617" s="2">
        <v>13384.52</v>
      </c>
      <c r="K617" s="3">
        <v>45926</v>
      </c>
      <c r="L617" s="3">
        <v>45927</v>
      </c>
      <c r="M617" s="2" t="s">
        <v>123</v>
      </c>
      <c r="N617" s="2">
        <v>2</v>
      </c>
      <c r="O617" s="2" t="s">
        <v>904</v>
      </c>
      <c r="P617" s="25">
        <v>6.4</v>
      </c>
      <c r="Q617" t="str">
        <f t="shared" si="82"/>
        <v>0616</v>
      </c>
      <c r="R617" t="str">
        <f>IF('RETAIL SALES DATA.'!H617&gt;AVERAGE('RETAIL SALES DATA.'!H617:H1616),"HIGHEST VALUE","LOWEST VALUE")</f>
        <v>HIGHEST VALUE</v>
      </c>
      <c r="S617" t="str">
        <f t="shared" si="83"/>
        <v>Profit</v>
      </c>
      <c r="T617" t="str">
        <f t="shared" si="84"/>
        <v>Terry Thomas</v>
      </c>
      <c r="U617" t="str">
        <f t="shared" si="85"/>
        <v>File</v>
      </c>
      <c r="V617">
        <f t="shared" si="86"/>
        <v>2025</v>
      </c>
      <c r="W617">
        <f t="shared" si="87"/>
        <v>9</v>
      </c>
      <c r="X617">
        <f t="shared" si="88"/>
        <v>26</v>
      </c>
      <c r="Y617" t="str">
        <f t="shared" si="89"/>
        <v>Sep</v>
      </c>
      <c r="Z617">
        <f t="shared" si="90"/>
        <v>1</v>
      </c>
    </row>
    <row r="618" spans="1:26" ht="15.75" customHeight="1" x14ac:dyDescent="0.3">
      <c r="A618" s="2" t="s">
        <v>1504</v>
      </c>
      <c r="B618" s="2" t="s">
        <v>1505</v>
      </c>
      <c r="C618" s="2" t="s">
        <v>195</v>
      </c>
      <c r="D618" s="2" t="s">
        <v>43</v>
      </c>
      <c r="E618" s="2" t="s">
        <v>32</v>
      </c>
      <c r="F618" s="2">
        <v>3</v>
      </c>
      <c r="G618" s="2">
        <v>2135.66</v>
      </c>
      <c r="H618" s="2">
        <v>6406.98</v>
      </c>
      <c r="I618" s="2">
        <v>4585.55</v>
      </c>
      <c r="J618" s="2">
        <v>1821.43</v>
      </c>
      <c r="K618" s="3">
        <v>45687</v>
      </c>
      <c r="L618" s="3">
        <v>45694</v>
      </c>
      <c r="M618" s="2" t="s">
        <v>58</v>
      </c>
      <c r="N618" s="2">
        <v>3</v>
      </c>
      <c r="O618" s="2" t="s">
        <v>888</v>
      </c>
      <c r="P618" s="25">
        <v>8.1999999999999993</v>
      </c>
      <c r="Q618" t="str">
        <f t="shared" si="82"/>
        <v>0617</v>
      </c>
      <c r="R618" t="str">
        <f>IF('RETAIL SALES DATA.'!H618&gt;AVERAGE('RETAIL SALES DATA.'!H618:H1617),"HIGHEST VALUE","LOWEST VALUE")</f>
        <v>LOWEST VALUE</v>
      </c>
      <c r="S618" t="str">
        <f t="shared" si="83"/>
        <v>Profit</v>
      </c>
      <c r="T618" t="str">
        <f t="shared" si="84"/>
        <v>Dr. Kristin Smith</v>
      </c>
      <c r="U618" t="str">
        <f t="shared" si="85"/>
        <v>Monitor</v>
      </c>
      <c r="V618">
        <f t="shared" si="86"/>
        <v>2025</v>
      </c>
      <c r="W618">
        <f t="shared" si="87"/>
        <v>2</v>
      </c>
      <c r="X618">
        <f t="shared" si="88"/>
        <v>30</v>
      </c>
      <c r="Y618" t="str">
        <f t="shared" si="89"/>
        <v>Jan</v>
      </c>
      <c r="Z618">
        <f t="shared" si="90"/>
        <v>7</v>
      </c>
    </row>
    <row r="619" spans="1:26" ht="15.75" customHeight="1" x14ac:dyDescent="0.3">
      <c r="A619" s="2" t="s">
        <v>1506</v>
      </c>
      <c r="B619" s="2" t="s">
        <v>1507</v>
      </c>
      <c r="C619" s="2" t="s">
        <v>30</v>
      </c>
      <c r="D619" s="2" t="s">
        <v>31</v>
      </c>
      <c r="E619" s="2" t="s">
        <v>44</v>
      </c>
      <c r="F619" s="2">
        <v>17</v>
      </c>
      <c r="G619" s="2">
        <v>4815.82</v>
      </c>
      <c r="H619" s="2">
        <v>81868.94</v>
      </c>
      <c r="I619" s="2">
        <v>50410.55</v>
      </c>
      <c r="J619" s="2">
        <v>31458.39</v>
      </c>
      <c r="K619" s="3">
        <v>46120</v>
      </c>
      <c r="L619" s="3">
        <v>46127</v>
      </c>
      <c r="M619" s="2" t="s">
        <v>50</v>
      </c>
      <c r="N619" s="2">
        <v>5</v>
      </c>
      <c r="O619" s="2" t="s">
        <v>1508</v>
      </c>
      <c r="P619" s="25">
        <v>7.8</v>
      </c>
      <c r="Q619" t="str">
        <f t="shared" si="82"/>
        <v>0618</v>
      </c>
      <c r="R619" t="str">
        <f>IF('RETAIL SALES DATA.'!H619&gt;AVERAGE('RETAIL SALES DATA.'!H619:H1618),"HIGHEST VALUE","LOWEST VALUE")</f>
        <v>HIGHEST VALUE</v>
      </c>
      <c r="S619" t="str">
        <f t="shared" si="83"/>
        <v>Profit</v>
      </c>
      <c r="T619" t="str">
        <f t="shared" si="84"/>
        <v>John Wood</v>
      </c>
      <c r="U619" t="str">
        <f t="shared" si="85"/>
        <v>Desk</v>
      </c>
      <c r="V619">
        <f t="shared" si="86"/>
        <v>2026</v>
      </c>
      <c r="W619">
        <f t="shared" si="87"/>
        <v>4</v>
      </c>
      <c r="X619">
        <f t="shared" si="88"/>
        <v>8</v>
      </c>
      <c r="Y619" t="str">
        <f t="shared" si="89"/>
        <v>Apr</v>
      </c>
      <c r="Z619">
        <f t="shared" si="90"/>
        <v>7</v>
      </c>
    </row>
    <row r="620" spans="1:26" ht="15.75" customHeight="1" x14ac:dyDescent="0.3">
      <c r="A620" s="2" t="s">
        <v>1509</v>
      </c>
      <c r="B620" s="2" t="s">
        <v>1510</v>
      </c>
      <c r="C620" s="2" t="s">
        <v>168</v>
      </c>
      <c r="D620" s="2" t="s">
        <v>43</v>
      </c>
      <c r="E620" s="2" t="s">
        <v>32</v>
      </c>
      <c r="F620" s="2">
        <v>8</v>
      </c>
      <c r="G620" s="2">
        <v>4796.2299999999996</v>
      </c>
      <c r="H620" s="2">
        <v>38369.839999999997</v>
      </c>
      <c r="I620" s="2">
        <v>19306.43</v>
      </c>
      <c r="J620" s="2">
        <v>19063.41</v>
      </c>
      <c r="K620" s="3">
        <v>45586</v>
      </c>
      <c r="L620" s="3">
        <v>45587</v>
      </c>
      <c r="M620" s="2" t="s">
        <v>45</v>
      </c>
      <c r="N620" s="2">
        <v>3</v>
      </c>
      <c r="O620" s="2" t="s">
        <v>1060</v>
      </c>
      <c r="P620" s="25">
        <v>7.2</v>
      </c>
      <c r="Q620" t="str">
        <f t="shared" si="82"/>
        <v>0619</v>
      </c>
      <c r="R620" t="str">
        <f>IF('RETAIL SALES DATA.'!H620&gt;AVERAGE('RETAIL SALES DATA.'!H620:H1619),"HIGHEST VALUE","LOWEST VALUE")</f>
        <v>HIGHEST VALUE</v>
      </c>
      <c r="S620" t="str">
        <f t="shared" si="83"/>
        <v>Profit</v>
      </c>
      <c r="T620" t="str">
        <f t="shared" si="84"/>
        <v>Jillian Daniel</v>
      </c>
      <c r="U620" t="str">
        <f t="shared" si="85"/>
        <v>Keyboard</v>
      </c>
      <c r="V620">
        <f t="shared" si="86"/>
        <v>2024</v>
      </c>
      <c r="W620">
        <f t="shared" si="87"/>
        <v>10</v>
      </c>
      <c r="X620">
        <f t="shared" si="88"/>
        <v>21</v>
      </c>
      <c r="Y620" t="str">
        <f t="shared" si="89"/>
        <v>Oct</v>
      </c>
      <c r="Z620">
        <f t="shared" si="90"/>
        <v>1</v>
      </c>
    </row>
    <row r="621" spans="1:26" ht="15.75" customHeight="1" x14ac:dyDescent="0.3">
      <c r="A621" s="2" t="s">
        <v>1511</v>
      </c>
      <c r="B621" s="2" t="s">
        <v>1512</v>
      </c>
      <c r="C621" s="2" t="s">
        <v>62</v>
      </c>
      <c r="D621" s="2" t="s">
        <v>31</v>
      </c>
      <c r="E621" s="2" t="s">
        <v>44</v>
      </c>
      <c r="F621" s="2">
        <v>10</v>
      </c>
      <c r="G621" s="2">
        <v>2259.09</v>
      </c>
      <c r="H621" s="2">
        <v>22590.9</v>
      </c>
      <c r="I621" s="2">
        <v>15201.62</v>
      </c>
      <c r="J621" s="2">
        <v>7389.28</v>
      </c>
      <c r="K621" s="3">
        <v>45788</v>
      </c>
      <c r="L621" s="3">
        <v>45794</v>
      </c>
      <c r="M621" s="2" t="s">
        <v>181</v>
      </c>
      <c r="N621" s="2">
        <v>3</v>
      </c>
      <c r="O621" s="2" t="s">
        <v>1251</v>
      </c>
      <c r="P621" s="25">
        <v>7.7</v>
      </c>
      <c r="Q621" t="str">
        <f t="shared" si="82"/>
        <v>0620</v>
      </c>
      <c r="R621" t="str">
        <f>IF('RETAIL SALES DATA.'!H621&gt;AVERAGE('RETAIL SALES DATA.'!H621:H1620),"HIGHEST VALUE","LOWEST VALUE")</f>
        <v>LOWEST VALUE</v>
      </c>
      <c r="S621" t="str">
        <f t="shared" si="83"/>
        <v>Profit</v>
      </c>
      <c r="T621" t="str">
        <f t="shared" si="84"/>
        <v>Heather May</v>
      </c>
      <c r="U621" t="str">
        <f t="shared" si="85"/>
        <v>Table</v>
      </c>
      <c r="V621">
        <f t="shared" si="86"/>
        <v>2025</v>
      </c>
      <c r="W621">
        <f t="shared" si="87"/>
        <v>5</v>
      </c>
      <c r="X621">
        <f t="shared" si="88"/>
        <v>11</v>
      </c>
      <c r="Y621" t="str">
        <f t="shared" si="89"/>
        <v>May</v>
      </c>
      <c r="Z621">
        <f t="shared" si="90"/>
        <v>6</v>
      </c>
    </row>
    <row r="622" spans="1:26" ht="15.75" customHeight="1" x14ac:dyDescent="0.3">
      <c r="A622" s="2" t="s">
        <v>1513</v>
      </c>
      <c r="B622" s="2" t="s">
        <v>1514</v>
      </c>
      <c r="C622" s="2" t="s">
        <v>30</v>
      </c>
      <c r="D622" s="2" t="s">
        <v>31</v>
      </c>
      <c r="E622" s="2" t="s">
        <v>20</v>
      </c>
      <c r="F622" s="2">
        <v>6</v>
      </c>
      <c r="G622" s="2">
        <v>2849.3</v>
      </c>
      <c r="H622" s="2">
        <v>17095.8</v>
      </c>
      <c r="I622" s="2">
        <v>10906.64</v>
      </c>
      <c r="J622" s="2">
        <v>6189.16</v>
      </c>
      <c r="K622" s="3">
        <v>45491</v>
      </c>
      <c r="L622" s="3">
        <v>45500</v>
      </c>
      <c r="M622" s="2" t="s">
        <v>38</v>
      </c>
      <c r="N622" s="2">
        <v>2</v>
      </c>
      <c r="O622" s="2" t="s">
        <v>335</v>
      </c>
      <c r="P622" s="25">
        <v>7</v>
      </c>
      <c r="Q622" t="str">
        <f t="shared" si="82"/>
        <v>0621</v>
      </c>
      <c r="R622" t="str">
        <f>IF('RETAIL SALES DATA.'!H622&gt;AVERAGE('RETAIL SALES DATA.'!H622:H1621),"HIGHEST VALUE","LOWEST VALUE")</f>
        <v>LOWEST VALUE</v>
      </c>
      <c r="S622" t="str">
        <f t="shared" si="83"/>
        <v>Profit</v>
      </c>
      <c r="T622" t="str">
        <f t="shared" si="84"/>
        <v>Gene Navarro</v>
      </c>
      <c r="U622" t="str">
        <f t="shared" si="85"/>
        <v>Desk</v>
      </c>
      <c r="V622">
        <f t="shared" si="86"/>
        <v>2024</v>
      </c>
      <c r="W622">
        <f t="shared" si="87"/>
        <v>7</v>
      </c>
      <c r="X622">
        <f t="shared" si="88"/>
        <v>18</v>
      </c>
      <c r="Y622" t="str">
        <f t="shared" si="89"/>
        <v>Jul</v>
      </c>
      <c r="Z622">
        <f t="shared" si="90"/>
        <v>9</v>
      </c>
    </row>
    <row r="623" spans="1:26" ht="15.75" customHeight="1" x14ac:dyDescent="0.3">
      <c r="A623" s="2" t="s">
        <v>1515</v>
      </c>
      <c r="B623" s="2" t="s">
        <v>1516</v>
      </c>
      <c r="C623" s="2" t="s">
        <v>30</v>
      </c>
      <c r="D623" s="2" t="s">
        <v>31</v>
      </c>
      <c r="E623" s="2" t="s">
        <v>25</v>
      </c>
      <c r="F623" s="2">
        <v>8</v>
      </c>
      <c r="G623" s="2">
        <v>3593.08</v>
      </c>
      <c r="H623" s="2">
        <v>28744.639999999999</v>
      </c>
      <c r="I623" s="2">
        <v>15596.65</v>
      </c>
      <c r="J623" s="2">
        <v>13147.99</v>
      </c>
      <c r="K623" s="3">
        <v>46060</v>
      </c>
      <c r="L623" s="3">
        <v>46065</v>
      </c>
      <c r="M623" s="2" t="s">
        <v>26</v>
      </c>
      <c r="N623" s="2">
        <v>4</v>
      </c>
      <c r="O623" s="2" t="s">
        <v>105</v>
      </c>
      <c r="P623" s="25">
        <v>8</v>
      </c>
      <c r="Q623" t="str">
        <f t="shared" si="82"/>
        <v>0622</v>
      </c>
      <c r="R623" t="str">
        <f>IF('RETAIL SALES DATA.'!H623&gt;AVERAGE('RETAIL SALES DATA.'!H623:H1622),"HIGHEST VALUE","LOWEST VALUE")</f>
        <v>HIGHEST VALUE</v>
      </c>
      <c r="S623" t="str">
        <f t="shared" si="83"/>
        <v>Profit</v>
      </c>
      <c r="T623" t="str">
        <f t="shared" si="84"/>
        <v>Cheryl Santos</v>
      </c>
      <c r="U623" t="str">
        <f t="shared" si="85"/>
        <v>Desk</v>
      </c>
      <c r="V623">
        <f t="shared" si="86"/>
        <v>2026</v>
      </c>
      <c r="W623">
        <f t="shared" si="87"/>
        <v>2</v>
      </c>
      <c r="X623">
        <f t="shared" si="88"/>
        <v>7</v>
      </c>
      <c r="Y623" t="str">
        <f t="shared" si="89"/>
        <v>Feb</v>
      </c>
      <c r="Z623">
        <f t="shared" si="90"/>
        <v>5</v>
      </c>
    </row>
    <row r="624" spans="1:26" ht="15.75" customHeight="1" x14ac:dyDescent="0.3">
      <c r="A624" s="2" t="s">
        <v>1517</v>
      </c>
      <c r="B624" s="2" t="s">
        <v>1518</v>
      </c>
      <c r="C624" s="2" t="s">
        <v>18</v>
      </c>
      <c r="D624" s="2" t="s">
        <v>19</v>
      </c>
      <c r="E624" s="2" t="s">
        <v>44</v>
      </c>
      <c r="F624" s="2">
        <v>10</v>
      </c>
      <c r="G624" s="2">
        <v>4757.3599999999997</v>
      </c>
      <c r="H624" s="2">
        <v>47573.599999999999</v>
      </c>
      <c r="I624" s="2">
        <v>35907.19</v>
      </c>
      <c r="J624" s="2">
        <v>11666.41</v>
      </c>
      <c r="K624" s="3">
        <v>45720</v>
      </c>
      <c r="L624" s="3">
        <v>45728</v>
      </c>
      <c r="M624" s="2" t="s">
        <v>181</v>
      </c>
      <c r="N624" s="2">
        <v>3</v>
      </c>
      <c r="O624" s="2" t="s">
        <v>785</v>
      </c>
      <c r="P624" s="25">
        <v>9</v>
      </c>
      <c r="Q624" t="str">
        <f t="shared" si="82"/>
        <v>0623</v>
      </c>
      <c r="R624" t="str">
        <f>IF('RETAIL SALES DATA.'!H624&gt;AVERAGE('RETAIL SALES DATA.'!H624:H1623),"HIGHEST VALUE","LOWEST VALUE")</f>
        <v>HIGHEST VALUE</v>
      </c>
      <c r="S624" t="str">
        <f t="shared" si="83"/>
        <v>Profit</v>
      </c>
      <c r="T624" t="str">
        <f t="shared" si="84"/>
        <v>Gina Martinez</v>
      </c>
      <c r="U624" t="str">
        <f t="shared" si="85"/>
        <v>Pen</v>
      </c>
      <c r="V624">
        <f t="shared" si="86"/>
        <v>2025</v>
      </c>
      <c r="W624">
        <f t="shared" si="87"/>
        <v>3</v>
      </c>
      <c r="X624">
        <f t="shared" si="88"/>
        <v>4</v>
      </c>
      <c r="Y624" t="str">
        <f t="shared" si="89"/>
        <v>Mar</v>
      </c>
      <c r="Z624">
        <f t="shared" si="90"/>
        <v>8</v>
      </c>
    </row>
    <row r="625" spans="1:26" ht="15.75" customHeight="1" x14ac:dyDescent="0.3">
      <c r="A625" s="2" t="s">
        <v>1519</v>
      </c>
      <c r="B625" s="2" t="s">
        <v>1520</v>
      </c>
      <c r="C625" s="2" t="s">
        <v>95</v>
      </c>
      <c r="D625" s="2" t="s">
        <v>19</v>
      </c>
      <c r="E625" s="2" t="s">
        <v>20</v>
      </c>
      <c r="F625" s="2">
        <v>17</v>
      </c>
      <c r="G625" s="2">
        <v>2822.97</v>
      </c>
      <c r="H625" s="2">
        <v>47990.49</v>
      </c>
      <c r="I625" s="2">
        <v>41898.050000000003</v>
      </c>
      <c r="J625" s="2">
        <v>6092.44</v>
      </c>
      <c r="K625" s="3">
        <v>45569</v>
      </c>
      <c r="L625" s="3">
        <v>45571</v>
      </c>
      <c r="M625" s="2" t="s">
        <v>58</v>
      </c>
      <c r="N625" s="2">
        <v>4</v>
      </c>
      <c r="O625" s="2" t="s">
        <v>891</v>
      </c>
      <c r="P625" s="25">
        <v>6.5</v>
      </c>
      <c r="Q625" t="str">
        <f t="shared" si="82"/>
        <v>0624</v>
      </c>
      <c r="R625" t="str">
        <f>IF('RETAIL SALES DATA.'!H625&gt;AVERAGE('RETAIL SALES DATA.'!H625:H1624),"HIGHEST VALUE","LOWEST VALUE")</f>
        <v>HIGHEST VALUE</v>
      </c>
      <c r="S625" t="str">
        <f t="shared" si="83"/>
        <v>Profit</v>
      </c>
      <c r="T625" t="str">
        <f t="shared" si="84"/>
        <v>Jacob Burgess Phd</v>
      </c>
      <c r="U625" t="str">
        <f t="shared" si="85"/>
        <v>Printer</v>
      </c>
      <c r="V625">
        <f t="shared" si="86"/>
        <v>2024</v>
      </c>
      <c r="W625">
        <f t="shared" si="87"/>
        <v>10</v>
      </c>
      <c r="X625">
        <f t="shared" si="88"/>
        <v>4</v>
      </c>
      <c r="Y625" t="str">
        <f t="shared" si="89"/>
        <v>Oct</v>
      </c>
      <c r="Z625">
        <f t="shared" si="90"/>
        <v>2</v>
      </c>
    </row>
    <row r="626" spans="1:26" ht="15.75" customHeight="1" x14ac:dyDescent="0.3">
      <c r="A626" s="2" t="s">
        <v>1521</v>
      </c>
      <c r="B626" s="2" t="s">
        <v>1522</v>
      </c>
      <c r="C626" s="2" t="s">
        <v>72</v>
      </c>
      <c r="D626" s="2" t="s">
        <v>31</v>
      </c>
      <c r="E626" s="2" t="s">
        <v>32</v>
      </c>
      <c r="F626" s="2">
        <v>17</v>
      </c>
      <c r="G626" s="2">
        <v>1085.6400000000001</v>
      </c>
      <c r="H626" s="2">
        <v>18455.88</v>
      </c>
      <c r="I626" s="2">
        <v>11544.84</v>
      </c>
      <c r="J626" s="2">
        <v>6911.04</v>
      </c>
      <c r="K626" s="3">
        <v>45506</v>
      </c>
      <c r="L626" s="3">
        <v>45508</v>
      </c>
      <c r="M626" s="2" t="s">
        <v>45</v>
      </c>
      <c r="N626" s="2">
        <v>1</v>
      </c>
      <c r="O626" s="2" t="s">
        <v>120</v>
      </c>
      <c r="P626" s="25">
        <v>6.1</v>
      </c>
      <c r="Q626" t="str">
        <f t="shared" si="82"/>
        <v>0625</v>
      </c>
      <c r="R626" t="str">
        <f>IF('RETAIL SALES DATA.'!H626&gt;AVERAGE('RETAIL SALES DATA.'!H626:H1625),"HIGHEST VALUE","LOWEST VALUE")</f>
        <v>LOWEST VALUE</v>
      </c>
      <c r="S626" t="str">
        <f t="shared" si="83"/>
        <v>Profit</v>
      </c>
      <c r="T626" t="str">
        <f t="shared" si="84"/>
        <v>Maria Moody</v>
      </c>
      <c r="U626" t="str">
        <f t="shared" si="85"/>
        <v>Chair</v>
      </c>
      <c r="V626">
        <f t="shared" si="86"/>
        <v>2024</v>
      </c>
      <c r="W626">
        <f t="shared" si="87"/>
        <v>8</v>
      </c>
      <c r="X626">
        <f t="shared" si="88"/>
        <v>2</v>
      </c>
      <c r="Y626" t="str">
        <f t="shared" si="89"/>
        <v>Aug</v>
      </c>
      <c r="Z626">
        <f t="shared" si="90"/>
        <v>2</v>
      </c>
    </row>
    <row r="627" spans="1:26" ht="15.75" customHeight="1" x14ac:dyDescent="0.3">
      <c r="A627" s="2" t="s">
        <v>1523</v>
      </c>
      <c r="B627" s="2" t="s">
        <v>1524</v>
      </c>
      <c r="C627" s="2" t="s">
        <v>57</v>
      </c>
      <c r="D627" s="2" t="s">
        <v>19</v>
      </c>
      <c r="E627" s="2" t="s">
        <v>32</v>
      </c>
      <c r="F627" s="2">
        <v>1</v>
      </c>
      <c r="G627" s="2">
        <v>1690.5</v>
      </c>
      <c r="H627" s="2">
        <v>1690.5</v>
      </c>
      <c r="I627" s="2">
        <v>1268.75</v>
      </c>
      <c r="J627" s="2">
        <v>421.75</v>
      </c>
      <c r="K627" s="3">
        <v>45560</v>
      </c>
      <c r="L627" s="3">
        <v>45569</v>
      </c>
      <c r="M627" s="2" t="s">
        <v>45</v>
      </c>
      <c r="N627" s="2">
        <v>4</v>
      </c>
      <c r="O627" s="2" t="s">
        <v>1191</v>
      </c>
      <c r="P627" s="25">
        <v>6.7</v>
      </c>
      <c r="Q627" t="str">
        <f t="shared" si="82"/>
        <v>0626</v>
      </c>
      <c r="R627" t="str">
        <f>IF('RETAIL SALES DATA.'!H627&gt;AVERAGE('RETAIL SALES DATA.'!H627:H1626),"HIGHEST VALUE","LOWEST VALUE")</f>
        <v>LOWEST VALUE</v>
      </c>
      <c r="S627" t="str">
        <f t="shared" si="83"/>
        <v>Profit</v>
      </c>
      <c r="T627" t="str">
        <f t="shared" si="84"/>
        <v>Dylan Sosa</v>
      </c>
      <c r="U627" t="str">
        <f t="shared" si="85"/>
        <v>Notebook</v>
      </c>
      <c r="V627">
        <f t="shared" si="86"/>
        <v>2024</v>
      </c>
      <c r="W627">
        <f t="shared" si="87"/>
        <v>10</v>
      </c>
      <c r="X627">
        <f t="shared" si="88"/>
        <v>25</v>
      </c>
      <c r="Y627" t="str">
        <f t="shared" si="89"/>
        <v>Sep</v>
      </c>
      <c r="Z627">
        <f t="shared" si="90"/>
        <v>9</v>
      </c>
    </row>
    <row r="628" spans="1:26" ht="15.75" customHeight="1" x14ac:dyDescent="0.3">
      <c r="A628" s="2" t="s">
        <v>1525</v>
      </c>
      <c r="B628" s="2" t="s">
        <v>390</v>
      </c>
      <c r="C628" s="2" t="s">
        <v>42</v>
      </c>
      <c r="D628" s="2" t="s">
        <v>43</v>
      </c>
      <c r="E628" s="2" t="s">
        <v>25</v>
      </c>
      <c r="F628" s="2">
        <v>17</v>
      </c>
      <c r="G628" s="2">
        <v>1426.42</v>
      </c>
      <c r="H628" s="2">
        <v>24249.14</v>
      </c>
      <c r="I628" s="2">
        <v>21056.98</v>
      </c>
      <c r="J628" s="2">
        <v>3192.16</v>
      </c>
      <c r="K628" s="3">
        <v>45922</v>
      </c>
      <c r="L628" s="3">
        <v>45924</v>
      </c>
      <c r="M628" s="2" t="s">
        <v>26</v>
      </c>
      <c r="N628" s="2">
        <v>4</v>
      </c>
      <c r="O628" s="2" t="s">
        <v>154</v>
      </c>
      <c r="P628" s="25">
        <v>6.5</v>
      </c>
      <c r="Q628" t="str">
        <f t="shared" si="82"/>
        <v>0627</v>
      </c>
      <c r="R628" t="str">
        <f>IF('RETAIL SALES DATA.'!H628&gt;AVERAGE('RETAIL SALES DATA.'!H628:H1627),"HIGHEST VALUE","LOWEST VALUE")</f>
        <v>LOWEST VALUE</v>
      </c>
      <c r="S628" t="str">
        <f t="shared" si="83"/>
        <v>Profit</v>
      </c>
      <c r="T628" t="str">
        <f t="shared" si="84"/>
        <v>Ashley Robinson</v>
      </c>
      <c r="U628" t="str">
        <f t="shared" si="85"/>
        <v>Laptop</v>
      </c>
      <c r="V628">
        <f t="shared" si="86"/>
        <v>2025</v>
      </c>
      <c r="W628">
        <f t="shared" si="87"/>
        <v>9</v>
      </c>
      <c r="X628">
        <f t="shared" si="88"/>
        <v>22</v>
      </c>
      <c r="Y628" t="str">
        <f t="shared" si="89"/>
        <v>Sep</v>
      </c>
      <c r="Z628">
        <f t="shared" si="90"/>
        <v>2</v>
      </c>
    </row>
    <row r="629" spans="1:26" ht="15.75" customHeight="1" x14ac:dyDescent="0.3">
      <c r="A629" s="2" t="s">
        <v>1526</v>
      </c>
      <c r="B629" s="2" t="s">
        <v>1527</v>
      </c>
      <c r="C629" s="2" t="s">
        <v>139</v>
      </c>
      <c r="D629" s="2" t="s">
        <v>31</v>
      </c>
      <c r="E629" s="2" t="s">
        <v>20</v>
      </c>
      <c r="F629" s="2">
        <v>15</v>
      </c>
      <c r="G629" s="2">
        <v>4848.55</v>
      </c>
      <c r="H629" s="2">
        <v>72728.25</v>
      </c>
      <c r="I629" s="2">
        <v>59080.69</v>
      </c>
      <c r="J629" s="2">
        <v>13647.56</v>
      </c>
      <c r="K629" s="3">
        <v>45456</v>
      </c>
      <c r="L629" s="3">
        <v>45460</v>
      </c>
      <c r="M629" s="2" t="s">
        <v>181</v>
      </c>
      <c r="N629" s="2">
        <v>3</v>
      </c>
      <c r="O629" s="2" t="s">
        <v>429</v>
      </c>
      <c r="P629" s="25">
        <v>7.5</v>
      </c>
      <c r="Q629" t="str">
        <f t="shared" si="82"/>
        <v>0628</v>
      </c>
      <c r="R629" t="str">
        <f>IF('RETAIL SALES DATA.'!H629&gt;AVERAGE('RETAIL SALES DATA.'!H629:H1628),"HIGHEST VALUE","LOWEST VALUE")</f>
        <v>HIGHEST VALUE</v>
      </c>
      <c r="S629" t="str">
        <f t="shared" si="83"/>
        <v>Profit</v>
      </c>
      <c r="T629" t="str">
        <f t="shared" si="84"/>
        <v>Jennifer Taylor</v>
      </c>
      <c r="U629" t="str">
        <f t="shared" si="85"/>
        <v>Sofa</v>
      </c>
      <c r="V629">
        <f t="shared" si="86"/>
        <v>2024</v>
      </c>
      <c r="W629">
        <f t="shared" si="87"/>
        <v>6</v>
      </c>
      <c r="X629">
        <f t="shared" si="88"/>
        <v>13</v>
      </c>
      <c r="Y629" t="str">
        <f t="shared" si="89"/>
        <v>Jun</v>
      </c>
      <c r="Z629">
        <f t="shared" si="90"/>
        <v>4</v>
      </c>
    </row>
    <row r="630" spans="1:26" ht="15.75" customHeight="1" x14ac:dyDescent="0.3">
      <c r="A630" s="2" t="s">
        <v>1528</v>
      </c>
      <c r="B630" s="2" t="s">
        <v>1529</v>
      </c>
      <c r="C630" s="2" t="s">
        <v>49</v>
      </c>
      <c r="D630" s="2" t="s">
        <v>43</v>
      </c>
      <c r="E630" s="2" t="s">
        <v>25</v>
      </c>
      <c r="F630" s="2">
        <v>5</v>
      </c>
      <c r="G630" s="2">
        <v>4197.21</v>
      </c>
      <c r="H630" s="2">
        <v>20986.05</v>
      </c>
      <c r="I630" s="2">
        <v>12468.72</v>
      </c>
      <c r="J630" s="2">
        <v>8517.33</v>
      </c>
      <c r="K630" s="3">
        <v>45790</v>
      </c>
      <c r="L630" s="3">
        <v>45797</v>
      </c>
      <c r="M630" s="2" t="s">
        <v>21</v>
      </c>
      <c r="N630" s="2">
        <v>2</v>
      </c>
      <c r="O630" s="2" t="s">
        <v>63</v>
      </c>
      <c r="P630" s="25">
        <v>7.9</v>
      </c>
      <c r="Q630" t="str">
        <f t="shared" si="82"/>
        <v>0629</v>
      </c>
      <c r="R630" t="str">
        <f>IF('RETAIL SALES DATA.'!H630&gt;AVERAGE('RETAIL SALES DATA.'!H630:H1629),"HIGHEST VALUE","LOWEST VALUE")</f>
        <v>LOWEST VALUE</v>
      </c>
      <c r="S630" t="str">
        <f t="shared" si="83"/>
        <v>Profit</v>
      </c>
      <c r="T630" t="str">
        <f t="shared" si="84"/>
        <v>Mrs. Kimberly Pitts Md</v>
      </c>
      <c r="U630" t="str">
        <f t="shared" si="85"/>
        <v>Mouse</v>
      </c>
      <c r="V630">
        <f t="shared" si="86"/>
        <v>2025</v>
      </c>
      <c r="W630">
        <f t="shared" si="87"/>
        <v>5</v>
      </c>
      <c r="X630">
        <f t="shared" si="88"/>
        <v>13</v>
      </c>
      <c r="Y630" t="str">
        <f t="shared" si="89"/>
        <v>May</v>
      </c>
      <c r="Z630">
        <f t="shared" si="90"/>
        <v>7</v>
      </c>
    </row>
    <row r="631" spans="1:26" ht="15.75" customHeight="1" x14ac:dyDescent="0.3">
      <c r="A631" s="2" t="s">
        <v>1530</v>
      </c>
      <c r="B631" s="2" t="s">
        <v>1531</v>
      </c>
      <c r="C631" s="2" t="s">
        <v>18</v>
      </c>
      <c r="D631" s="2" t="s">
        <v>19</v>
      </c>
      <c r="E631" s="2" t="s">
        <v>32</v>
      </c>
      <c r="F631" s="2">
        <v>5</v>
      </c>
      <c r="G631" s="2">
        <v>2500.9</v>
      </c>
      <c r="H631" s="2">
        <v>12504.5</v>
      </c>
      <c r="I631" s="2">
        <v>10825.93</v>
      </c>
      <c r="J631" s="2">
        <v>1678.57</v>
      </c>
      <c r="K631" s="3">
        <v>45567</v>
      </c>
      <c r="L631" s="3">
        <v>45570</v>
      </c>
      <c r="M631" s="2" t="s">
        <v>38</v>
      </c>
      <c r="N631" s="2">
        <v>1</v>
      </c>
      <c r="O631" s="2" t="s">
        <v>300</v>
      </c>
      <c r="P631" s="25">
        <v>9</v>
      </c>
      <c r="Q631" t="str">
        <f t="shared" si="82"/>
        <v>0630</v>
      </c>
      <c r="R631" t="str">
        <f>IF('RETAIL SALES DATA.'!H631&gt;AVERAGE('RETAIL SALES DATA.'!H631:H1630),"HIGHEST VALUE","LOWEST VALUE")</f>
        <v>LOWEST VALUE</v>
      </c>
      <c r="S631" t="str">
        <f t="shared" si="83"/>
        <v>Profit</v>
      </c>
      <c r="T631" t="str">
        <f t="shared" si="84"/>
        <v>John Johnson</v>
      </c>
      <c r="U631" t="str">
        <f t="shared" si="85"/>
        <v>Pen</v>
      </c>
      <c r="V631">
        <f t="shared" si="86"/>
        <v>2024</v>
      </c>
      <c r="W631">
        <f t="shared" si="87"/>
        <v>10</v>
      </c>
      <c r="X631">
        <f t="shared" si="88"/>
        <v>2</v>
      </c>
      <c r="Y631" t="str">
        <f t="shared" si="89"/>
        <v>Oct</v>
      </c>
      <c r="Z631">
        <f t="shared" si="90"/>
        <v>3</v>
      </c>
    </row>
    <row r="632" spans="1:26" ht="15.75" customHeight="1" x14ac:dyDescent="0.3">
      <c r="A632" s="2" t="s">
        <v>1532</v>
      </c>
      <c r="B632" s="2" t="s">
        <v>1533</v>
      </c>
      <c r="C632" s="2" t="s">
        <v>49</v>
      </c>
      <c r="D632" s="2" t="s">
        <v>43</v>
      </c>
      <c r="E632" s="2" t="s">
        <v>44</v>
      </c>
      <c r="F632" s="2">
        <v>16</v>
      </c>
      <c r="G632" s="2">
        <v>2205.91</v>
      </c>
      <c r="H632" s="2">
        <v>35294.559999999998</v>
      </c>
      <c r="I632" s="2">
        <v>29920.959999999999</v>
      </c>
      <c r="J632" s="2">
        <v>5373.6</v>
      </c>
      <c r="K632" s="3">
        <v>45538</v>
      </c>
      <c r="L632" s="3">
        <v>45543</v>
      </c>
      <c r="M632" s="2" t="s">
        <v>21</v>
      </c>
      <c r="N632" s="2">
        <v>3</v>
      </c>
      <c r="O632" s="2" t="s">
        <v>108</v>
      </c>
      <c r="P632" s="25">
        <v>8.5</v>
      </c>
      <c r="Q632" t="str">
        <f t="shared" si="82"/>
        <v>0631</v>
      </c>
      <c r="R632" t="str">
        <f>IF('RETAIL SALES DATA.'!H632&gt;AVERAGE('RETAIL SALES DATA.'!H632:H1631),"HIGHEST VALUE","LOWEST VALUE")</f>
        <v>HIGHEST VALUE</v>
      </c>
      <c r="S632" t="str">
        <f t="shared" si="83"/>
        <v>Profit</v>
      </c>
      <c r="T632" t="str">
        <f t="shared" si="84"/>
        <v>Janet Phillips</v>
      </c>
      <c r="U632" t="str">
        <f t="shared" si="85"/>
        <v>Mouse</v>
      </c>
      <c r="V632">
        <f t="shared" si="86"/>
        <v>2024</v>
      </c>
      <c r="W632">
        <f t="shared" si="87"/>
        <v>9</v>
      </c>
      <c r="X632">
        <f t="shared" si="88"/>
        <v>3</v>
      </c>
      <c r="Y632" t="str">
        <f t="shared" si="89"/>
        <v>Sep</v>
      </c>
      <c r="Z632">
        <f t="shared" si="90"/>
        <v>5</v>
      </c>
    </row>
    <row r="633" spans="1:26" ht="15.75" customHeight="1" x14ac:dyDescent="0.3">
      <c r="A633" s="2" t="s">
        <v>1534</v>
      </c>
      <c r="B633" s="2" t="s">
        <v>1535</v>
      </c>
      <c r="C633" s="2" t="s">
        <v>219</v>
      </c>
      <c r="D633" s="2" t="s">
        <v>43</v>
      </c>
      <c r="E633" s="2" t="s">
        <v>32</v>
      </c>
      <c r="F633" s="2">
        <v>13</v>
      </c>
      <c r="G633" s="2">
        <v>4735.05</v>
      </c>
      <c r="H633" s="2">
        <v>61555.65</v>
      </c>
      <c r="I633" s="2">
        <v>31518.560000000001</v>
      </c>
      <c r="J633" s="2">
        <v>30037.09</v>
      </c>
      <c r="K633" s="3">
        <v>45761</v>
      </c>
      <c r="L633" s="3">
        <v>45769</v>
      </c>
      <c r="M633" s="2" t="s">
        <v>21</v>
      </c>
      <c r="N633" s="2">
        <v>3</v>
      </c>
      <c r="O633" s="2" t="s">
        <v>414</v>
      </c>
      <c r="P633" s="25">
        <v>8.6</v>
      </c>
      <c r="Q633" t="str">
        <f t="shared" si="82"/>
        <v>0632</v>
      </c>
      <c r="R633" t="str">
        <f>IF('RETAIL SALES DATA.'!H633&gt;AVERAGE('RETAIL SALES DATA.'!H633:H1632),"HIGHEST VALUE","LOWEST VALUE")</f>
        <v>HIGHEST VALUE</v>
      </c>
      <c r="S633" t="str">
        <f t="shared" si="83"/>
        <v>Profit</v>
      </c>
      <c r="T633" t="str">
        <f t="shared" si="84"/>
        <v>Leslie Smith</v>
      </c>
      <c r="U633" t="str">
        <f t="shared" si="85"/>
        <v>Smartphone</v>
      </c>
      <c r="V633">
        <f t="shared" si="86"/>
        <v>2025</v>
      </c>
      <c r="W633">
        <f t="shared" si="87"/>
        <v>4</v>
      </c>
      <c r="X633">
        <f t="shared" si="88"/>
        <v>14</v>
      </c>
      <c r="Y633" t="str">
        <f t="shared" si="89"/>
        <v>Apr</v>
      </c>
      <c r="Z633">
        <f t="shared" si="90"/>
        <v>8</v>
      </c>
    </row>
    <row r="634" spans="1:26" ht="15.75" customHeight="1" x14ac:dyDescent="0.3">
      <c r="A634" s="2" t="s">
        <v>1536</v>
      </c>
      <c r="B634" s="2" t="s">
        <v>1537</v>
      </c>
      <c r="C634" s="2" t="s">
        <v>62</v>
      </c>
      <c r="D634" s="2" t="s">
        <v>31</v>
      </c>
      <c r="E634" s="2" t="s">
        <v>20</v>
      </c>
      <c r="F634" s="2">
        <v>7</v>
      </c>
      <c r="G634" s="2">
        <v>3784.07</v>
      </c>
      <c r="H634" s="2">
        <v>26488.49</v>
      </c>
      <c r="I634" s="2">
        <v>20033.27</v>
      </c>
      <c r="J634" s="2">
        <v>6455.22</v>
      </c>
      <c r="K634" s="3">
        <v>45728</v>
      </c>
      <c r="L634" s="3">
        <v>45731</v>
      </c>
      <c r="M634" s="2" t="s">
        <v>69</v>
      </c>
      <c r="N634" s="2">
        <v>1</v>
      </c>
      <c r="O634" s="2" t="s">
        <v>463</v>
      </c>
      <c r="P634" s="25">
        <v>6.8</v>
      </c>
      <c r="Q634" t="str">
        <f t="shared" si="82"/>
        <v>0633</v>
      </c>
      <c r="R634" t="str">
        <f>IF('RETAIL SALES DATA.'!H634&gt;AVERAGE('RETAIL SALES DATA.'!H634:H1633),"HIGHEST VALUE","LOWEST VALUE")</f>
        <v>HIGHEST VALUE</v>
      </c>
      <c r="S634" t="str">
        <f t="shared" si="83"/>
        <v>Profit</v>
      </c>
      <c r="T634" t="str">
        <f t="shared" si="84"/>
        <v>Angela Berger</v>
      </c>
      <c r="U634" t="str">
        <f t="shared" si="85"/>
        <v>Table</v>
      </c>
      <c r="V634">
        <f t="shared" si="86"/>
        <v>2025</v>
      </c>
      <c r="W634">
        <f t="shared" si="87"/>
        <v>3</v>
      </c>
      <c r="X634">
        <f t="shared" si="88"/>
        <v>12</v>
      </c>
      <c r="Y634" t="str">
        <f t="shared" si="89"/>
        <v>Mar</v>
      </c>
      <c r="Z634">
        <f t="shared" si="90"/>
        <v>3</v>
      </c>
    </row>
    <row r="635" spans="1:26" ht="15.75" customHeight="1" x14ac:dyDescent="0.3">
      <c r="A635" s="2" t="s">
        <v>1538</v>
      </c>
      <c r="B635" s="2" t="s">
        <v>1539</v>
      </c>
      <c r="C635" s="2" t="s">
        <v>72</v>
      </c>
      <c r="D635" s="2" t="s">
        <v>31</v>
      </c>
      <c r="E635" s="2" t="s">
        <v>44</v>
      </c>
      <c r="F635" s="2">
        <v>1</v>
      </c>
      <c r="G635" s="2">
        <v>378.84</v>
      </c>
      <c r="H635" s="2">
        <v>378.84</v>
      </c>
      <c r="I635" s="2">
        <v>201.18</v>
      </c>
      <c r="J635" s="2">
        <v>177.66</v>
      </c>
      <c r="K635" s="3">
        <v>46045</v>
      </c>
      <c r="L635" s="3">
        <v>46052</v>
      </c>
      <c r="M635" s="2" t="s">
        <v>58</v>
      </c>
      <c r="N635" s="2">
        <v>1</v>
      </c>
      <c r="O635" s="2" t="s">
        <v>1390</v>
      </c>
      <c r="P635" s="25">
        <v>10</v>
      </c>
      <c r="Q635" t="str">
        <f t="shared" si="82"/>
        <v>0634</v>
      </c>
      <c r="R635" t="str">
        <f>IF('RETAIL SALES DATA.'!H635&gt;AVERAGE('RETAIL SALES DATA.'!H635:H1634),"HIGHEST VALUE","LOWEST VALUE")</f>
        <v>LOWEST VALUE</v>
      </c>
      <c r="S635" t="str">
        <f t="shared" si="83"/>
        <v>Profit</v>
      </c>
      <c r="T635" t="str">
        <f t="shared" si="84"/>
        <v>Jordan Young</v>
      </c>
      <c r="U635" t="str">
        <f t="shared" si="85"/>
        <v>Chair</v>
      </c>
      <c r="V635">
        <f t="shared" si="86"/>
        <v>2026</v>
      </c>
      <c r="W635">
        <f t="shared" si="87"/>
        <v>1</v>
      </c>
      <c r="X635">
        <f t="shared" si="88"/>
        <v>23</v>
      </c>
      <c r="Y635" t="str">
        <f t="shared" si="89"/>
        <v>Jan</v>
      </c>
      <c r="Z635">
        <f t="shared" si="90"/>
        <v>7</v>
      </c>
    </row>
    <row r="636" spans="1:26" ht="15.75" customHeight="1" x14ac:dyDescent="0.3">
      <c r="A636" s="2" t="s">
        <v>1540</v>
      </c>
      <c r="B636" s="2" t="s">
        <v>1541</v>
      </c>
      <c r="C636" s="2" t="s">
        <v>139</v>
      </c>
      <c r="D636" s="2" t="s">
        <v>31</v>
      </c>
      <c r="E636" s="2" t="s">
        <v>25</v>
      </c>
      <c r="F636" s="2">
        <v>17</v>
      </c>
      <c r="G636" s="2">
        <v>4370.3900000000003</v>
      </c>
      <c r="H636" s="2">
        <v>74296.63</v>
      </c>
      <c r="I636" s="2">
        <v>48408.36</v>
      </c>
      <c r="J636" s="2">
        <v>25888.27</v>
      </c>
      <c r="K636" s="3">
        <v>45956</v>
      </c>
      <c r="L636" s="3">
        <v>45965</v>
      </c>
      <c r="M636" s="2" t="s">
        <v>26</v>
      </c>
      <c r="N636" s="2">
        <v>2</v>
      </c>
      <c r="O636" s="2" t="s">
        <v>1542</v>
      </c>
      <c r="P636" s="25">
        <v>9.4</v>
      </c>
      <c r="Q636" t="str">
        <f t="shared" si="82"/>
        <v>0635</v>
      </c>
      <c r="R636" t="str">
        <f>IF('RETAIL SALES DATA.'!H636&gt;AVERAGE('RETAIL SALES DATA.'!H636:H1635),"HIGHEST VALUE","LOWEST VALUE")</f>
        <v>HIGHEST VALUE</v>
      </c>
      <c r="S636" t="str">
        <f t="shared" si="83"/>
        <v>Profit</v>
      </c>
      <c r="T636" t="str">
        <f t="shared" si="84"/>
        <v>Joseph Richardson</v>
      </c>
      <c r="U636" t="str">
        <f t="shared" si="85"/>
        <v>Sofa</v>
      </c>
      <c r="V636">
        <f t="shared" si="86"/>
        <v>2025</v>
      </c>
      <c r="W636">
        <f t="shared" si="87"/>
        <v>11</v>
      </c>
      <c r="X636">
        <f t="shared" si="88"/>
        <v>26</v>
      </c>
      <c r="Y636" t="str">
        <f t="shared" si="89"/>
        <v>Oct</v>
      </c>
      <c r="Z636">
        <f t="shared" si="90"/>
        <v>9</v>
      </c>
    </row>
    <row r="637" spans="1:26" ht="15.75" customHeight="1" x14ac:dyDescent="0.3">
      <c r="A637" s="2" t="s">
        <v>1543</v>
      </c>
      <c r="B637" s="2" t="s">
        <v>1544</v>
      </c>
      <c r="C637" s="2" t="s">
        <v>88</v>
      </c>
      <c r="D637" s="2" t="s">
        <v>31</v>
      </c>
      <c r="E637" s="2" t="s">
        <v>25</v>
      </c>
      <c r="F637" s="2">
        <v>17</v>
      </c>
      <c r="G637" s="2">
        <v>1915.27</v>
      </c>
      <c r="H637" s="2">
        <v>32559.59</v>
      </c>
      <c r="I637" s="2">
        <v>22197.77</v>
      </c>
      <c r="J637" s="2">
        <v>10361.82</v>
      </c>
      <c r="K637" s="3">
        <v>46026</v>
      </c>
      <c r="L637" s="3">
        <v>46033</v>
      </c>
      <c r="M637" s="2" t="s">
        <v>50</v>
      </c>
      <c r="N637" s="2">
        <v>4</v>
      </c>
      <c r="O637" s="2" t="s">
        <v>105</v>
      </c>
      <c r="P637" s="25">
        <v>7</v>
      </c>
      <c r="Q637" t="str">
        <f t="shared" si="82"/>
        <v>0636</v>
      </c>
      <c r="R637" t="str">
        <f>IF('RETAIL SALES DATA.'!H637&gt;AVERAGE('RETAIL SALES DATA.'!H637:H1636),"HIGHEST VALUE","LOWEST VALUE")</f>
        <v>HIGHEST VALUE</v>
      </c>
      <c r="S637" t="str">
        <f t="shared" si="83"/>
        <v>Profit</v>
      </c>
      <c r="T637" t="str">
        <f t="shared" si="84"/>
        <v>Thomas Brooks</v>
      </c>
      <c r="U637" t="str">
        <f t="shared" si="85"/>
        <v>Cupboard</v>
      </c>
      <c r="V637">
        <f t="shared" si="86"/>
        <v>2026</v>
      </c>
      <c r="W637">
        <f t="shared" si="87"/>
        <v>1</v>
      </c>
      <c r="X637">
        <f t="shared" si="88"/>
        <v>4</v>
      </c>
      <c r="Y637" t="str">
        <f t="shared" si="89"/>
        <v>Jan</v>
      </c>
      <c r="Z637">
        <f t="shared" si="90"/>
        <v>7</v>
      </c>
    </row>
    <row r="638" spans="1:26" ht="15.75" customHeight="1" x14ac:dyDescent="0.3">
      <c r="A638" s="2" t="s">
        <v>1545</v>
      </c>
      <c r="B638" s="2" t="s">
        <v>1546</v>
      </c>
      <c r="C638" s="2" t="s">
        <v>195</v>
      </c>
      <c r="D638" s="2" t="s">
        <v>43</v>
      </c>
      <c r="E638" s="2" t="s">
        <v>44</v>
      </c>
      <c r="F638" s="2">
        <v>15</v>
      </c>
      <c r="G638" s="2">
        <v>1410.83</v>
      </c>
      <c r="H638" s="2">
        <v>21162.45</v>
      </c>
      <c r="I638" s="2">
        <v>13794.43</v>
      </c>
      <c r="J638" s="2">
        <v>7368.02</v>
      </c>
      <c r="K638" s="3">
        <v>45670</v>
      </c>
      <c r="L638" s="3">
        <v>45678</v>
      </c>
      <c r="M638" s="2" t="s">
        <v>45</v>
      </c>
      <c r="N638" s="2">
        <v>3</v>
      </c>
      <c r="O638" s="2" t="s">
        <v>423</v>
      </c>
      <c r="P638" s="25">
        <v>7.2</v>
      </c>
      <c r="Q638" t="str">
        <f t="shared" si="82"/>
        <v>0637</v>
      </c>
      <c r="R638" t="str">
        <f>IF('RETAIL SALES DATA.'!H638&gt;AVERAGE('RETAIL SALES DATA.'!H638:H1637),"HIGHEST VALUE","LOWEST VALUE")</f>
        <v>LOWEST VALUE</v>
      </c>
      <c r="S638" t="str">
        <f t="shared" si="83"/>
        <v>Profit</v>
      </c>
      <c r="T638" t="str">
        <f t="shared" si="84"/>
        <v>Timothy Edwards</v>
      </c>
      <c r="U638" t="str">
        <f t="shared" si="85"/>
        <v>Monitor</v>
      </c>
      <c r="V638">
        <f t="shared" si="86"/>
        <v>2025</v>
      </c>
      <c r="W638">
        <f t="shared" si="87"/>
        <v>1</v>
      </c>
      <c r="X638">
        <f t="shared" si="88"/>
        <v>13</v>
      </c>
      <c r="Y638" t="str">
        <f t="shared" si="89"/>
        <v>Jan</v>
      </c>
      <c r="Z638">
        <f t="shared" si="90"/>
        <v>8</v>
      </c>
    </row>
    <row r="639" spans="1:26" ht="15.75" customHeight="1" x14ac:dyDescent="0.3">
      <c r="A639" s="2" t="s">
        <v>1547</v>
      </c>
      <c r="B639" s="2" t="s">
        <v>1548</v>
      </c>
      <c r="C639" s="2" t="s">
        <v>49</v>
      </c>
      <c r="D639" s="2" t="s">
        <v>43</v>
      </c>
      <c r="E639" s="2" t="s">
        <v>20</v>
      </c>
      <c r="F639" s="2">
        <v>20</v>
      </c>
      <c r="G639" s="2">
        <v>2613.02</v>
      </c>
      <c r="H639" s="2">
        <v>52260.4</v>
      </c>
      <c r="I639" s="2">
        <v>31674.17</v>
      </c>
      <c r="J639" s="2">
        <v>20586.23</v>
      </c>
      <c r="K639" s="3">
        <v>45635</v>
      </c>
      <c r="L639" s="3">
        <v>45644</v>
      </c>
      <c r="M639" s="2" t="s">
        <v>38</v>
      </c>
      <c r="N639" s="2">
        <v>2</v>
      </c>
      <c r="O639" s="2" t="s">
        <v>102</v>
      </c>
      <c r="P639" s="25">
        <v>6.6</v>
      </c>
      <c r="Q639" t="str">
        <f t="shared" si="82"/>
        <v>0638</v>
      </c>
      <c r="R639" t="str">
        <f>IF('RETAIL SALES DATA.'!H639&gt;AVERAGE('RETAIL SALES DATA.'!H639:H1638),"HIGHEST VALUE","LOWEST VALUE")</f>
        <v>HIGHEST VALUE</v>
      </c>
      <c r="S639" t="str">
        <f t="shared" si="83"/>
        <v>Profit</v>
      </c>
      <c r="T639" t="str">
        <f t="shared" si="84"/>
        <v>Daniel Riley</v>
      </c>
      <c r="U639" t="str">
        <f t="shared" si="85"/>
        <v>Mouse</v>
      </c>
      <c r="V639">
        <f t="shared" si="86"/>
        <v>2024</v>
      </c>
      <c r="W639">
        <f t="shared" si="87"/>
        <v>12</v>
      </c>
      <c r="X639">
        <f t="shared" si="88"/>
        <v>9</v>
      </c>
      <c r="Y639" t="str">
        <f t="shared" si="89"/>
        <v>Dec</v>
      </c>
      <c r="Z639">
        <f t="shared" si="90"/>
        <v>9</v>
      </c>
    </row>
    <row r="640" spans="1:26" ht="15.75" customHeight="1" x14ac:dyDescent="0.3">
      <c r="A640" s="2" t="s">
        <v>1549</v>
      </c>
      <c r="B640" s="2" t="s">
        <v>1550</v>
      </c>
      <c r="C640" s="2" t="s">
        <v>30</v>
      </c>
      <c r="D640" s="2" t="s">
        <v>31</v>
      </c>
      <c r="E640" s="2" t="s">
        <v>44</v>
      </c>
      <c r="F640" s="2">
        <v>7</v>
      </c>
      <c r="G640" s="2">
        <v>54.54</v>
      </c>
      <c r="H640" s="2">
        <v>381.78</v>
      </c>
      <c r="I640" s="2">
        <v>241.99</v>
      </c>
      <c r="J640" s="2">
        <v>139.79</v>
      </c>
      <c r="K640" s="3">
        <v>45443</v>
      </c>
      <c r="L640" s="3">
        <v>45448</v>
      </c>
      <c r="M640" s="2" t="s">
        <v>21</v>
      </c>
      <c r="N640" s="2">
        <v>5</v>
      </c>
      <c r="O640" s="2" t="s">
        <v>289</v>
      </c>
      <c r="P640" s="25">
        <v>9.9</v>
      </c>
      <c r="Q640" t="str">
        <f t="shared" si="82"/>
        <v>0639</v>
      </c>
      <c r="R640" t="str">
        <f>IF('RETAIL SALES DATA.'!H640&gt;AVERAGE('RETAIL SALES DATA.'!H640:H1639),"HIGHEST VALUE","LOWEST VALUE")</f>
        <v>LOWEST VALUE</v>
      </c>
      <c r="S640" t="str">
        <f t="shared" si="83"/>
        <v>Profit</v>
      </c>
      <c r="T640" t="str">
        <f t="shared" si="84"/>
        <v>Mariah Scott</v>
      </c>
      <c r="U640" t="str">
        <f t="shared" si="85"/>
        <v>Desk</v>
      </c>
      <c r="V640">
        <f t="shared" si="86"/>
        <v>2024</v>
      </c>
      <c r="W640">
        <f t="shared" si="87"/>
        <v>6</v>
      </c>
      <c r="X640">
        <f t="shared" si="88"/>
        <v>31</v>
      </c>
      <c r="Y640" t="str">
        <f t="shared" si="89"/>
        <v>May</v>
      </c>
      <c r="Z640">
        <f t="shared" si="90"/>
        <v>5</v>
      </c>
    </row>
    <row r="641" spans="1:26" ht="15.75" customHeight="1" x14ac:dyDescent="0.3">
      <c r="A641" s="2" t="s">
        <v>1551</v>
      </c>
      <c r="B641" s="2" t="s">
        <v>1552</v>
      </c>
      <c r="C641" s="2" t="s">
        <v>139</v>
      </c>
      <c r="D641" s="2" t="s">
        <v>31</v>
      </c>
      <c r="E641" s="2" t="s">
        <v>32</v>
      </c>
      <c r="F641" s="2">
        <v>1</v>
      </c>
      <c r="G641" s="2">
        <v>3298.82</v>
      </c>
      <c r="H641" s="2">
        <v>3298.82</v>
      </c>
      <c r="I641" s="2">
        <v>2159.67</v>
      </c>
      <c r="J641" s="2">
        <v>1139.1500000000001</v>
      </c>
      <c r="K641" s="3">
        <v>45808</v>
      </c>
      <c r="L641" s="3">
        <v>45816</v>
      </c>
      <c r="M641" s="2" t="s">
        <v>50</v>
      </c>
      <c r="N641" s="2">
        <v>5</v>
      </c>
      <c r="O641" s="2" t="s">
        <v>692</v>
      </c>
      <c r="P641" s="25">
        <v>7</v>
      </c>
      <c r="Q641" t="str">
        <f t="shared" si="82"/>
        <v>0640</v>
      </c>
      <c r="R641" t="str">
        <f>IF('RETAIL SALES DATA.'!H641&gt;AVERAGE('RETAIL SALES DATA.'!H641:H1640),"HIGHEST VALUE","LOWEST VALUE")</f>
        <v>LOWEST VALUE</v>
      </c>
      <c r="S641" t="str">
        <f t="shared" si="83"/>
        <v>Profit</v>
      </c>
      <c r="T641" t="str">
        <f t="shared" si="84"/>
        <v>Haley Mckinney</v>
      </c>
      <c r="U641" t="str">
        <f t="shared" si="85"/>
        <v>Sofa</v>
      </c>
      <c r="V641">
        <f t="shared" si="86"/>
        <v>2025</v>
      </c>
      <c r="W641">
        <f t="shared" si="87"/>
        <v>6</v>
      </c>
      <c r="X641">
        <f t="shared" si="88"/>
        <v>31</v>
      </c>
      <c r="Y641" t="str">
        <f t="shared" si="89"/>
        <v>May</v>
      </c>
      <c r="Z641">
        <f t="shared" si="90"/>
        <v>8</v>
      </c>
    </row>
    <row r="642" spans="1:26" ht="15.75" customHeight="1" x14ac:dyDescent="0.3">
      <c r="A642" s="2" t="s">
        <v>1553</v>
      </c>
      <c r="B642" s="2" t="s">
        <v>1554</v>
      </c>
      <c r="C642" s="2" t="s">
        <v>144</v>
      </c>
      <c r="D642" s="2" t="s">
        <v>19</v>
      </c>
      <c r="E642" s="2" t="s">
        <v>25</v>
      </c>
      <c r="F642" s="2">
        <v>13</v>
      </c>
      <c r="G642" s="2">
        <v>2690.81</v>
      </c>
      <c r="H642" s="2">
        <v>34980.53</v>
      </c>
      <c r="I642" s="2">
        <v>23950.74</v>
      </c>
      <c r="J642" s="2">
        <v>11029.79</v>
      </c>
      <c r="K642" s="3">
        <v>45494</v>
      </c>
      <c r="L642" s="3">
        <v>45498</v>
      </c>
      <c r="M642" s="2" t="s">
        <v>69</v>
      </c>
      <c r="N642" s="2">
        <v>3</v>
      </c>
      <c r="O642" s="2" t="s">
        <v>683</v>
      </c>
      <c r="P642" s="25">
        <v>8.1999999999999993</v>
      </c>
      <c r="Q642" t="str">
        <f t="shared" si="82"/>
        <v>0641</v>
      </c>
      <c r="R642" t="str">
        <f>IF('RETAIL SALES DATA.'!H642&gt;AVERAGE('RETAIL SALES DATA.'!H642:H1641),"HIGHEST VALUE","LOWEST VALUE")</f>
        <v>HIGHEST VALUE</v>
      </c>
      <c r="S642" t="str">
        <f t="shared" si="83"/>
        <v>Profit</v>
      </c>
      <c r="T642" t="str">
        <f t="shared" si="84"/>
        <v>Sharon Romero</v>
      </c>
      <c r="U642" t="str">
        <f t="shared" si="85"/>
        <v>File</v>
      </c>
      <c r="V642">
        <f t="shared" si="86"/>
        <v>2024</v>
      </c>
      <c r="W642">
        <f t="shared" si="87"/>
        <v>7</v>
      </c>
      <c r="X642">
        <f t="shared" si="88"/>
        <v>21</v>
      </c>
      <c r="Y642" t="str">
        <f t="shared" si="89"/>
        <v>Jul</v>
      </c>
      <c r="Z642">
        <f t="shared" si="90"/>
        <v>4</v>
      </c>
    </row>
    <row r="643" spans="1:26" ht="15.75" customHeight="1" x14ac:dyDescent="0.3">
      <c r="A643" s="2" t="s">
        <v>1555</v>
      </c>
      <c r="B643" s="2" t="s">
        <v>1556</v>
      </c>
      <c r="C643" s="2" t="s">
        <v>139</v>
      </c>
      <c r="D643" s="2" t="s">
        <v>31</v>
      </c>
      <c r="E643" s="2" t="s">
        <v>44</v>
      </c>
      <c r="F643" s="2">
        <v>9</v>
      </c>
      <c r="G643" s="2">
        <v>3918.22</v>
      </c>
      <c r="H643" s="2">
        <v>35263.980000000003</v>
      </c>
      <c r="I643" s="2">
        <v>26189.65</v>
      </c>
      <c r="J643" s="2">
        <v>9074.33</v>
      </c>
      <c r="K643" s="3">
        <v>46016</v>
      </c>
      <c r="L643" s="3">
        <v>46023</v>
      </c>
      <c r="M643" s="2" t="s">
        <v>123</v>
      </c>
      <c r="N643" s="2">
        <v>2</v>
      </c>
      <c r="O643" s="2" t="s">
        <v>426</v>
      </c>
      <c r="P643" s="25">
        <v>7.1</v>
      </c>
      <c r="Q643" t="str">
        <f t="shared" ref="Q643:Q706" si="91">RIGHT(A643,"4")</f>
        <v>0642</v>
      </c>
      <c r="R643" t="str">
        <f>IF('RETAIL SALES DATA.'!H643&gt;AVERAGE('RETAIL SALES DATA.'!H643:H1642),"HIGHEST VALUE","LOWEST VALUE")</f>
        <v>HIGHEST VALUE</v>
      </c>
      <c r="S643" t="str">
        <f t="shared" ref="S643:S706" si="92">IF(J643&gt;0,"Profit","Loss")</f>
        <v>Profit</v>
      </c>
      <c r="T643" t="str">
        <f t="shared" ref="T643:T706" si="93">PROPER(B643)</f>
        <v>Theresa Schmidt</v>
      </c>
      <c r="U643" t="str">
        <f t="shared" ref="U643:U706" si="94">PROPER(C643)</f>
        <v>Sofa</v>
      </c>
      <c r="V643">
        <f t="shared" ref="V643:V706" si="95">YEAR(K643)</f>
        <v>2025</v>
      </c>
      <c r="W643">
        <f t="shared" ref="W643:W706" si="96">MONTH(L643)</f>
        <v>1</v>
      </c>
      <c r="X643">
        <f t="shared" ref="X643:X706" si="97">DAY(K643)</f>
        <v>25</v>
      </c>
      <c r="Y643" t="str">
        <f t="shared" ref="Y643:Y706" si="98">TEXT(K643,"MMM")</f>
        <v>Dec</v>
      </c>
      <c r="Z643">
        <f t="shared" ref="Z643:Z706" si="99">L643-K643</f>
        <v>7</v>
      </c>
    </row>
    <row r="644" spans="1:26" ht="15.75" customHeight="1" x14ac:dyDescent="0.3">
      <c r="A644" s="2" t="s">
        <v>1557</v>
      </c>
      <c r="B644" s="2" t="s">
        <v>1558</v>
      </c>
      <c r="C644" s="2" t="s">
        <v>195</v>
      </c>
      <c r="D644" s="2" t="s">
        <v>43</v>
      </c>
      <c r="E644" s="2" t="s">
        <v>25</v>
      </c>
      <c r="F644" s="2">
        <v>9</v>
      </c>
      <c r="G644" s="2">
        <v>2686.99</v>
      </c>
      <c r="H644" s="2">
        <v>24182.91</v>
      </c>
      <c r="I644" s="2">
        <v>18150.62</v>
      </c>
      <c r="J644" s="2">
        <v>6032.29</v>
      </c>
      <c r="K644" s="3">
        <v>45940</v>
      </c>
      <c r="L644" s="3">
        <v>45948</v>
      </c>
      <c r="M644" s="2" t="s">
        <v>123</v>
      </c>
      <c r="N644" s="2">
        <v>5</v>
      </c>
      <c r="O644" s="2" t="s">
        <v>34</v>
      </c>
      <c r="P644" s="25">
        <v>8.3000000000000007</v>
      </c>
      <c r="Q644" t="str">
        <f t="shared" si="91"/>
        <v>0643</v>
      </c>
      <c r="R644" t="str">
        <f>IF('RETAIL SALES DATA.'!H644&gt;AVERAGE('RETAIL SALES DATA.'!H644:H1643),"HIGHEST VALUE","LOWEST VALUE")</f>
        <v>LOWEST VALUE</v>
      </c>
      <c r="S644" t="str">
        <f t="shared" si="92"/>
        <v>Profit</v>
      </c>
      <c r="T644" t="str">
        <f t="shared" si="93"/>
        <v>Wendy Pierce</v>
      </c>
      <c r="U644" t="str">
        <f t="shared" si="94"/>
        <v>Monitor</v>
      </c>
      <c r="V644">
        <f t="shared" si="95"/>
        <v>2025</v>
      </c>
      <c r="W644">
        <f t="shared" si="96"/>
        <v>10</v>
      </c>
      <c r="X644">
        <f t="shared" si="97"/>
        <v>10</v>
      </c>
      <c r="Y644" t="str">
        <f t="shared" si="98"/>
        <v>Oct</v>
      </c>
      <c r="Z644">
        <f t="shared" si="99"/>
        <v>8</v>
      </c>
    </row>
    <row r="645" spans="1:26" ht="15.75" customHeight="1" x14ac:dyDescent="0.3">
      <c r="A645" s="2" t="s">
        <v>1559</v>
      </c>
      <c r="B645" s="2" t="s">
        <v>1560</v>
      </c>
      <c r="C645" s="2" t="s">
        <v>37</v>
      </c>
      <c r="D645" s="2" t="s">
        <v>19</v>
      </c>
      <c r="E645" s="2" t="s">
        <v>20</v>
      </c>
      <c r="F645" s="2">
        <v>4</v>
      </c>
      <c r="G645" s="2">
        <v>1509.68</v>
      </c>
      <c r="H645" s="2">
        <v>6038.72</v>
      </c>
      <c r="I645" s="2">
        <v>4074.24</v>
      </c>
      <c r="J645" s="2">
        <v>1964.48</v>
      </c>
      <c r="K645" s="3">
        <v>45921</v>
      </c>
      <c r="L645" s="3">
        <v>45922</v>
      </c>
      <c r="M645" s="2" t="s">
        <v>33</v>
      </c>
      <c r="N645" s="2">
        <v>1</v>
      </c>
      <c r="O645" s="2" t="s">
        <v>499</v>
      </c>
      <c r="P645" s="25">
        <v>7.5</v>
      </c>
      <c r="Q645" t="str">
        <f t="shared" si="91"/>
        <v>0644</v>
      </c>
      <c r="R645" t="str">
        <f>IF('RETAIL SALES DATA.'!H645&gt;AVERAGE('RETAIL SALES DATA.'!H645:H1644),"HIGHEST VALUE","LOWEST VALUE")</f>
        <v>LOWEST VALUE</v>
      </c>
      <c r="S645" t="str">
        <f t="shared" si="92"/>
        <v>Profit</v>
      </c>
      <c r="T645" t="str">
        <f t="shared" si="93"/>
        <v>Ashley Simpson</v>
      </c>
      <c r="U645" t="str">
        <f t="shared" si="94"/>
        <v>Marker</v>
      </c>
      <c r="V645">
        <f t="shared" si="95"/>
        <v>2025</v>
      </c>
      <c r="W645">
        <f t="shared" si="96"/>
        <v>9</v>
      </c>
      <c r="X645">
        <f t="shared" si="97"/>
        <v>21</v>
      </c>
      <c r="Y645" t="str">
        <f t="shared" si="98"/>
        <v>Sep</v>
      </c>
      <c r="Z645">
        <f t="shared" si="99"/>
        <v>1</v>
      </c>
    </row>
    <row r="646" spans="1:26" ht="15.75" customHeight="1" x14ac:dyDescent="0.3">
      <c r="A646" s="2" t="s">
        <v>1561</v>
      </c>
      <c r="B646" s="2" t="s">
        <v>1562</v>
      </c>
      <c r="C646" s="2" t="s">
        <v>168</v>
      </c>
      <c r="D646" s="2" t="s">
        <v>43</v>
      </c>
      <c r="E646" s="2" t="s">
        <v>20</v>
      </c>
      <c r="F646" s="2">
        <v>10</v>
      </c>
      <c r="G646" s="2">
        <v>1688.53</v>
      </c>
      <c r="H646" s="2">
        <v>16885.3</v>
      </c>
      <c r="I646" s="2">
        <v>9275.34</v>
      </c>
      <c r="J646" s="2">
        <v>7609.96</v>
      </c>
      <c r="K646" s="3">
        <v>45988</v>
      </c>
      <c r="L646" s="3">
        <v>45992</v>
      </c>
      <c r="M646" s="2" t="s">
        <v>123</v>
      </c>
      <c r="N646" s="2">
        <v>3</v>
      </c>
      <c r="O646" s="2" t="s">
        <v>151</v>
      </c>
      <c r="P646" s="25">
        <v>10</v>
      </c>
      <c r="Q646" t="str">
        <f t="shared" si="91"/>
        <v>0645</v>
      </c>
      <c r="R646" t="str">
        <f>IF('RETAIL SALES DATA.'!H646&gt;AVERAGE('RETAIL SALES DATA.'!H646:H1645),"HIGHEST VALUE","LOWEST VALUE")</f>
        <v>LOWEST VALUE</v>
      </c>
      <c r="S646" t="str">
        <f t="shared" si="92"/>
        <v>Profit</v>
      </c>
      <c r="T646" t="str">
        <f t="shared" si="93"/>
        <v>James Cook</v>
      </c>
      <c r="U646" t="str">
        <f t="shared" si="94"/>
        <v>Keyboard</v>
      </c>
      <c r="V646">
        <f t="shared" si="95"/>
        <v>2025</v>
      </c>
      <c r="W646">
        <f t="shared" si="96"/>
        <v>12</v>
      </c>
      <c r="X646">
        <f t="shared" si="97"/>
        <v>27</v>
      </c>
      <c r="Y646" t="str">
        <f t="shared" si="98"/>
        <v>Nov</v>
      </c>
      <c r="Z646">
        <f t="shared" si="99"/>
        <v>4</v>
      </c>
    </row>
    <row r="647" spans="1:26" ht="15.75" customHeight="1" x14ac:dyDescent="0.3">
      <c r="A647" s="2" t="s">
        <v>1563</v>
      </c>
      <c r="B647" s="2" t="s">
        <v>1564</v>
      </c>
      <c r="C647" s="2" t="s">
        <v>37</v>
      </c>
      <c r="D647" s="2" t="s">
        <v>19</v>
      </c>
      <c r="E647" s="2" t="s">
        <v>25</v>
      </c>
      <c r="F647" s="2">
        <v>1</v>
      </c>
      <c r="G647" s="2">
        <v>3913.86</v>
      </c>
      <c r="H647" s="2">
        <v>3913.86</v>
      </c>
      <c r="I647" s="2">
        <v>3440.06</v>
      </c>
      <c r="J647" s="2">
        <v>473.8</v>
      </c>
      <c r="K647" s="3">
        <v>45875</v>
      </c>
      <c r="L647" s="3">
        <v>45878</v>
      </c>
      <c r="M647" s="2" t="s">
        <v>38</v>
      </c>
      <c r="N647" s="2">
        <v>4</v>
      </c>
      <c r="O647" s="2" t="s">
        <v>557</v>
      </c>
      <c r="P647" s="25">
        <v>9.1999999999999993</v>
      </c>
      <c r="Q647" t="str">
        <f t="shared" si="91"/>
        <v>0646</v>
      </c>
      <c r="R647" t="str">
        <f>IF('RETAIL SALES DATA.'!H647&gt;AVERAGE('RETAIL SALES DATA.'!H647:H1646),"HIGHEST VALUE","LOWEST VALUE")</f>
        <v>LOWEST VALUE</v>
      </c>
      <c r="S647" t="str">
        <f t="shared" si="92"/>
        <v>Profit</v>
      </c>
      <c r="T647" t="str">
        <f t="shared" si="93"/>
        <v>Reginald Hansen</v>
      </c>
      <c r="U647" t="str">
        <f t="shared" si="94"/>
        <v>Marker</v>
      </c>
      <c r="V647">
        <f t="shared" si="95"/>
        <v>2025</v>
      </c>
      <c r="W647">
        <f t="shared" si="96"/>
        <v>8</v>
      </c>
      <c r="X647">
        <f t="shared" si="97"/>
        <v>6</v>
      </c>
      <c r="Y647" t="str">
        <f t="shared" si="98"/>
        <v>Aug</v>
      </c>
      <c r="Z647">
        <f t="shared" si="99"/>
        <v>3</v>
      </c>
    </row>
    <row r="648" spans="1:26" ht="15.75" customHeight="1" x14ac:dyDescent="0.3">
      <c r="A648" s="2" t="s">
        <v>1565</v>
      </c>
      <c r="B648" s="2" t="s">
        <v>1566</v>
      </c>
      <c r="C648" s="2" t="s">
        <v>49</v>
      </c>
      <c r="D648" s="2" t="s">
        <v>43</v>
      </c>
      <c r="E648" s="2" t="s">
        <v>32</v>
      </c>
      <c r="F648" s="2">
        <v>10</v>
      </c>
      <c r="G648" s="2">
        <v>3608.04</v>
      </c>
      <c r="H648" s="2">
        <v>36080.400000000001</v>
      </c>
      <c r="I648" s="2">
        <v>21910.83</v>
      </c>
      <c r="J648" s="2">
        <v>14169.57</v>
      </c>
      <c r="K648" s="3">
        <v>45517</v>
      </c>
      <c r="L648" s="3">
        <v>45521</v>
      </c>
      <c r="M648" s="2" t="s">
        <v>123</v>
      </c>
      <c r="N648" s="2">
        <v>5</v>
      </c>
      <c r="O648" s="2" t="s">
        <v>273</v>
      </c>
      <c r="P648" s="25">
        <v>9.5</v>
      </c>
      <c r="Q648" t="str">
        <f t="shared" si="91"/>
        <v>0647</v>
      </c>
      <c r="R648" t="str">
        <f>IF('RETAIL SALES DATA.'!H648&gt;AVERAGE('RETAIL SALES DATA.'!H648:H1647),"HIGHEST VALUE","LOWEST VALUE")</f>
        <v>HIGHEST VALUE</v>
      </c>
      <c r="S648" t="str">
        <f t="shared" si="92"/>
        <v>Profit</v>
      </c>
      <c r="T648" t="str">
        <f t="shared" si="93"/>
        <v>Megan Carter</v>
      </c>
      <c r="U648" t="str">
        <f t="shared" si="94"/>
        <v>Mouse</v>
      </c>
      <c r="V648">
        <f t="shared" si="95"/>
        <v>2024</v>
      </c>
      <c r="W648">
        <f t="shared" si="96"/>
        <v>8</v>
      </c>
      <c r="X648">
        <f t="shared" si="97"/>
        <v>13</v>
      </c>
      <c r="Y648" t="str">
        <f t="shared" si="98"/>
        <v>Aug</v>
      </c>
      <c r="Z648">
        <f t="shared" si="99"/>
        <v>4</v>
      </c>
    </row>
    <row r="649" spans="1:26" ht="15.75" customHeight="1" x14ac:dyDescent="0.3">
      <c r="A649" s="2" t="s">
        <v>1567</v>
      </c>
      <c r="B649" s="2" t="s">
        <v>1568</v>
      </c>
      <c r="C649" s="2" t="s">
        <v>168</v>
      </c>
      <c r="D649" s="2" t="s">
        <v>43</v>
      </c>
      <c r="E649" s="2" t="s">
        <v>25</v>
      </c>
      <c r="F649" s="2">
        <v>19</v>
      </c>
      <c r="G649" s="2">
        <v>2878.27</v>
      </c>
      <c r="H649" s="2">
        <v>54687.13</v>
      </c>
      <c r="I649" s="2">
        <v>30678.28</v>
      </c>
      <c r="J649" s="2">
        <v>24008.85</v>
      </c>
      <c r="K649" s="3">
        <v>45697</v>
      </c>
      <c r="L649" s="3">
        <v>45702</v>
      </c>
      <c r="M649" s="2" t="s">
        <v>38</v>
      </c>
      <c r="N649" s="2">
        <v>3</v>
      </c>
      <c r="O649" s="2" t="s">
        <v>133</v>
      </c>
      <c r="P649" s="25">
        <v>8</v>
      </c>
      <c r="Q649" t="str">
        <f t="shared" si="91"/>
        <v>0648</v>
      </c>
      <c r="R649" t="str">
        <f>IF('RETAIL SALES DATA.'!H649&gt;AVERAGE('RETAIL SALES DATA.'!H649:H1648),"HIGHEST VALUE","LOWEST VALUE")</f>
        <v>HIGHEST VALUE</v>
      </c>
      <c r="S649" t="str">
        <f t="shared" si="92"/>
        <v>Profit</v>
      </c>
      <c r="T649" t="str">
        <f t="shared" si="93"/>
        <v>Cindy Robertson</v>
      </c>
      <c r="U649" t="str">
        <f t="shared" si="94"/>
        <v>Keyboard</v>
      </c>
      <c r="V649">
        <f t="shared" si="95"/>
        <v>2025</v>
      </c>
      <c r="W649">
        <f t="shared" si="96"/>
        <v>2</v>
      </c>
      <c r="X649">
        <f t="shared" si="97"/>
        <v>9</v>
      </c>
      <c r="Y649" t="str">
        <f t="shared" si="98"/>
        <v>Feb</v>
      </c>
      <c r="Z649">
        <f t="shared" si="99"/>
        <v>5</v>
      </c>
    </row>
    <row r="650" spans="1:26" ht="15.75" customHeight="1" x14ac:dyDescent="0.3">
      <c r="A650" s="2" t="s">
        <v>1569</v>
      </c>
      <c r="B650" s="2" t="s">
        <v>898</v>
      </c>
      <c r="C650" s="2" t="s">
        <v>95</v>
      </c>
      <c r="D650" s="2" t="s">
        <v>19</v>
      </c>
      <c r="E650" s="2" t="s">
        <v>44</v>
      </c>
      <c r="F650" s="2">
        <v>5</v>
      </c>
      <c r="G650" s="2">
        <v>553.29999999999995</v>
      </c>
      <c r="H650" s="2">
        <v>2766.5</v>
      </c>
      <c r="I650" s="2">
        <v>2186.94</v>
      </c>
      <c r="J650" s="2">
        <v>579.55999999999995</v>
      </c>
      <c r="K650" s="3">
        <v>45689</v>
      </c>
      <c r="L650" s="3">
        <v>45690</v>
      </c>
      <c r="M650" s="2" t="s">
        <v>50</v>
      </c>
      <c r="N650" s="2">
        <v>4</v>
      </c>
      <c r="O650" s="2" t="s">
        <v>34</v>
      </c>
      <c r="P650" s="25">
        <v>8.5</v>
      </c>
      <c r="Q650" t="str">
        <f t="shared" si="91"/>
        <v>0649</v>
      </c>
      <c r="R650" t="str">
        <f>IF('RETAIL SALES DATA.'!H650&gt;AVERAGE('RETAIL SALES DATA.'!H650:H1649),"HIGHEST VALUE","LOWEST VALUE")</f>
        <v>LOWEST VALUE</v>
      </c>
      <c r="S650" t="str">
        <f t="shared" si="92"/>
        <v>Profit</v>
      </c>
      <c r="T650" t="str">
        <f t="shared" si="93"/>
        <v>Daniel Roberts</v>
      </c>
      <c r="U650" t="str">
        <f t="shared" si="94"/>
        <v>Printer</v>
      </c>
      <c r="V650">
        <f t="shared" si="95"/>
        <v>2025</v>
      </c>
      <c r="W650">
        <f t="shared" si="96"/>
        <v>2</v>
      </c>
      <c r="X650">
        <f t="shared" si="97"/>
        <v>1</v>
      </c>
      <c r="Y650" t="str">
        <f t="shared" si="98"/>
        <v>Feb</v>
      </c>
      <c r="Z650">
        <f t="shared" si="99"/>
        <v>1</v>
      </c>
    </row>
    <row r="651" spans="1:26" ht="15.75" customHeight="1" x14ac:dyDescent="0.3">
      <c r="A651" s="2" t="s">
        <v>1570</v>
      </c>
      <c r="B651" s="2" t="s">
        <v>1571</v>
      </c>
      <c r="C651" s="2" t="s">
        <v>195</v>
      </c>
      <c r="D651" s="2" t="s">
        <v>43</v>
      </c>
      <c r="E651" s="2" t="s">
        <v>44</v>
      </c>
      <c r="F651" s="2">
        <v>2</v>
      </c>
      <c r="G651" s="2">
        <v>3577.31</v>
      </c>
      <c r="H651" s="2">
        <v>7154.62</v>
      </c>
      <c r="I651" s="2">
        <v>5968.54</v>
      </c>
      <c r="J651" s="2">
        <v>1186.08</v>
      </c>
      <c r="K651" s="3">
        <v>45718</v>
      </c>
      <c r="L651" s="3">
        <v>45721</v>
      </c>
      <c r="M651" s="2" t="s">
        <v>38</v>
      </c>
      <c r="N651" s="2">
        <v>3</v>
      </c>
      <c r="O651" s="2" t="s">
        <v>232</v>
      </c>
      <c r="P651" s="25">
        <v>7.5</v>
      </c>
      <c r="Q651" t="str">
        <f t="shared" si="91"/>
        <v>0650</v>
      </c>
      <c r="R651" t="str">
        <f>IF('RETAIL SALES DATA.'!H651&gt;AVERAGE('RETAIL SALES DATA.'!H651:H1650),"HIGHEST VALUE","LOWEST VALUE")</f>
        <v>LOWEST VALUE</v>
      </c>
      <c r="S651" t="str">
        <f t="shared" si="92"/>
        <v>Profit</v>
      </c>
      <c r="T651" t="str">
        <f t="shared" si="93"/>
        <v>Janet Waller</v>
      </c>
      <c r="U651" t="str">
        <f t="shared" si="94"/>
        <v>Monitor</v>
      </c>
      <c r="V651">
        <f t="shared" si="95"/>
        <v>2025</v>
      </c>
      <c r="W651">
        <f t="shared" si="96"/>
        <v>3</v>
      </c>
      <c r="X651">
        <f t="shared" si="97"/>
        <v>2</v>
      </c>
      <c r="Y651" t="str">
        <f t="shared" si="98"/>
        <v>Mar</v>
      </c>
      <c r="Z651">
        <f t="shared" si="99"/>
        <v>3</v>
      </c>
    </row>
    <row r="652" spans="1:26" ht="15.75" customHeight="1" x14ac:dyDescent="0.3">
      <c r="A652" s="2" t="s">
        <v>1572</v>
      </c>
      <c r="B652" s="2" t="s">
        <v>1573</v>
      </c>
      <c r="C652" s="2" t="s">
        <v>195</v>
      </c>
      <c r="D652" s="2" t="s">
        <v>43</v>
      </c>
      <c r="E652" s="2" t="s">
        <v>20</v>
      </c>
      <c r="F652" s="2">
        <v>3</v>
      </c>
      <c r="G652" s="2">
        <v>958.09</v>
      </c>
      <c r="H652" s="2">
        <v>2874.27</v>
      </c>
      <c r="I652" s="2">
        <v>1543.81</v>
      </c>
      <c r="J652" s="2">
        <v>1330.46</v>
      </c>
      <c r="K652" s="3">
        <v>45901</v>
      </c>
      <c r="L652" s="3">
        <v>45906</v>
      </c>
      <c r="M652" s="2" t="s">
        <v>123</v>
      </c>
      <c r="N652" s="2">
        <v>5</v>
      </c>
      <c r="O652" s="2" t="s">
        <v>1574</v>
      </c>
      <c r="P652" s="25">
        <v>6.7</v>
      </c>
      <c r="Q652" t="str">
        <f t="shared" si="91"/>
        <v>0651</v>
      </c>
      <c r="R652" t="str">
        <f>IF('RETAIL SALES DATA.'!H652&gt;AVERAGE('RETAIL SALES DATA.'!H652:H1651),"HIGHEST VALUE","LOWEST VALUE")</f>
        <v>LOWEST VALUE</v>
      </c>
      <c r="S652" t="str">
        <f t="shared" si="92"/>
        <v>Profit</v>
      </c>
      <c r="T652" t="str">
        <f t="shared" si="93"/>
        <v>David Weeks</v>
      </c>
      <c r="U652" t="str">
        <f t="shared" si="94"/>
        <v>Monitor</v>
      </c>
      <c r="V652">
        <f t="shared" si="95"/>
        <v>2025</v>
      </c>
      <c r="W652">
        <f t="shared" si="96"/>
        <v>9</v>
      </c>
      <c r="X652">
        <f t="shared" si="97"/>
        <v>1</v>
      </c>
      <c r="Y652" t="str">
        <f t="shared" si="98"/>
        <v>Sep</v>
      </c>
      <c r="Z652">
        <f t="shared" si="99"/>
        <v>5</v>
      </c>
    </row>
    <row r="653" spans="1:26" ht="15.75" customHeight="1" x14ac:dyDescent="0.3">
      <c r="A653" s="2" t="s">
        <v>1575</v>
      </c>
      <c r="B653" s="2" t="s">
        <v>1576</v>
      </c>
      <c r="C653" s="2" t="s">
        <v>57</v>
      </c>
      <c r="D653" s="2" t="s">
        <v>19</v>
      </c>
      <c r="E653" s="2" t="s">
        <v>25</v>
      </c>
      <c r="F653" s="2">
        <v>13</v>
      </c>
      <c r="G653" s="2">
        <v>194.88</v>
      </c>
      <c r="H653" s="2">
        <v>2533.44</v>
      </c>
      <c r="I653" s="2">
        <v>1349.89</v>
      </c>
      <c r="J653" s="2">
        <v>1183.55</v>
      </c>
      <c r="K653" s="3">
        <v>45523</v>
      </c>
      <c r="L653" s="3">
        <v>45525</v>
      </c>
      <c r="M653" s="2" t="s">
        <v>21</v>
      </c>
      <c r="N653" s="2">
        <v>1</v>
      </c>
      <c r="O653" s="2" t="s">
        <v>354</v>
      </c>
      <c r="P653" s="25">
        <v>8.1</v>
      </c>
      <c r="Q653" t="str">
        <f t="shared" si="91"/>
        <v>0652</v>
      </c>
      <c r="R653" t="str">
        <f>IF('RETAIL SALES DATA.'!H653&gt;AVERAGE('RETAIL SALES DATA.'!H653:H1652),"HIGHEST VALUE","LOWEST VALUE")</f>
        <v>LOWEST VALUE</v>
      </c>
      <c r="S653" t="str">
        <f t="shared" si="92"/>
        <v>Profit</v>
      </c>
      <c r="T653" t="str">
        <f t="shared" si="93"/>
        <v>Tammy Reeves</v>
      </c>
      <c r="U653" t="str">
        <f t="shared" si="94"/>
        <v>Notebook</v>
      </c>
      <c r="V653">
        <f t="shared" si="95"/>
        <v>2024</v>
      </c>
      <c r="W653">
        <f t="shared" si="96"/>
        <v>8</v>
      </c>
      <c r="X653">
        <f t="shared" si="97"/>
        <v>19</v>
      </c>
      <c r="Y653" t="str">
        <f t="shared" si="98"/>
        <v>Aug</v>
      </c>
      <c r="Z653">
        <f t="shared" si="99"/>
        <v>2</v>
      </c>
    </row>
    <row r="654" spans="1:26" ht="15.75" customHeight="1" x14ac:dyDescent="0.3">
      <c r="A654" s="2" t="s">
        <v>1577</v>
      </c>
      <c r="B654" s="2" t="s">
        <v>1578</v>
      </c>
      <c r="C654" s="2" t="s">
        <v>49</v>
      </c>
      <c r="D654" s="2" t="s">
        <v>43</v>
      </c>
      <c r="E654" s="2" t="s">
        <v>25</v>
      </c>
      <c r="F654" s="2">
        <v>7</v>
      </c>
      <c r="G654" s="2">
        <v>2018.42</v>
      </c>
      <c r="H654" s="2">
        <v>14128.94</v>
      </c>
      <c r="I654" s="2">
        <v>8017.7</v>
      </c>
      <c r="J654" s="2">
        <v>6111.24</v>
      </c>
      <c r="K654" s="3">
        <v>45919</v>
      </c>
      <c r="L654" s="3">
        <v>45925</v>
      </c>
      <c r="M654" s="2" t="s">
        <v>58</v>
      </c>
      <c r="N654" s="2">
        <v>2</v>
      </c>
      <c r="O654" s="2" t="s">
        <v>1579</v>
      </c>
      <c r="P654" s="25">
        <v>6</v>
      </c>
      <c r="Q654" t="str">
        <f t="shared" si="91"/>
        <v>0653</v>
      </c>
      <c r="R654" t="str">
        <f>IF('RETAIL SALES DATA.'!H654&gt;AVERAGE('RETAIL SALES DATA.'!H654:H1653),"HIGHEST VALUE","LOWEST VALUE")</f>
        <v>LOWEST VALUE</v>
      </c>
      <c r="S654" t="str">
        <f t="shared" si="92"/>
        <v>Profit</v>
      </c>
      <c r="T654" t="str">
        <f t="shared" si="93"/>
        <v>Adrienne Martin</v>
      </c>
      <c r="U654" t="str">
        <f t="shared" si="94"/>
        <v>Mouse</v>
      </c>
      <c r="V654">
        <f t="shared" si="95"/>
        <v>2025</v>
      </c>
      <c r="W654">
        <f t="shared" si="96"/>
        <v>9</v>
      </c>
      <c r="X654">
        <f t="shared" si="97"/>
        <v>19</v>
      </c>
      <c r="Y654" t="str">
        <f t="shared" si="98"/>
        <v>Sep</v>
      </c>
      <c r="Z654">
        <f t="shared" si="99"/>
        <v>6</v>
      </c>
    </row>
    <row r="655" spans="1:26" ht="15.75" customHeight="1" x14ac:dyDescent="0.3">
      <c r="A655" s="2" t="s">
        <v>1580</v>
      </c>
      <c r="B655" s="2" t="s">
        <v>1581</v>
      </c>
      <c r="C655" s="2" t="s">
        <v>18</v>
      </c>
      <c r="D655" s="2" t="s">
        <v>19</v>
      </c>
      <c r="E655" s="2" t="s">
        <v>25</v>
      </c>
      <c r="F655" s="2">
        <v>17</v>
      </c>
      <c r="G655" s="2">
        <v>154.77000000000001</v>
      </c>
      <c r="H655" s="2">
        <v>2631.09</v>
      </c>
      <c r="I655" s="2">
        <v>1397.7</v>
      </c>
      <c r="J655" s="2">
        <v>1233.3900000000001</v>
      </c>
      <c r="K655" s="3">
        <v>45445</v>
      </c>
      <c r="L655" s="3">
        <v>45452</v>
      </c>
      <c r="M655" s="2" t="s">
        <v>38</v>
      </c>
      <c r="N655" s="2">
        <v>2</v>
      </c>
      <c r="O655" s="2" t="s">
        <v>548</v>
      </c>
      <c r="P655" s="25">
        <v>7.3</v>
      </c>
      <c r="Q655" t="str">
        <f t="shared" si="91"/>
        <v>0654</v>
      </c>
      <c r="R655" t="str">
        <f>IF('RETAIL SALES DATA.'!H655&gt;AVERAGE('RETAIL SALES DATA.'!H655:H1654),"HIGHEST VALUE","LOWEST VALUE")</f>
        <v>LOWEST VALUE</v>
      </c>
      <c r="S655" t="str">
        <f t="shared" si="92"/>
        <v>Profit</v>
      </c>
      <c r="T655" t="str">
        <f t="shared" si="93"/>
        <v>Thomas Munoz</v>
      </c>
      <c r="U655" t="str">
        <f t="shared" si="94"/>
        <v>Pen</v>
      </c>
      <c r="V655">
        <f t="shared" si="95"/>
        <v>2024</v>
      </c>
      <c r="W655">
        <f t="shared" si="96"/>
        <v>6</v>
      </c>
      <c r="X655">
        <f t="shared" si="97"/>
        <v>2</v>
      </c>
      <c r="Y655" t="str">
        <f t="shared" si="98"/>
        <v>Jun</v>
      </c>
      <c r="Z655">
        <f t="shared" si="99"/>
        <v>7</v>
      </c>
    </row>
    <row r="656" spans="1:26" ht="15.75" customHeight="1" x14ac:dyDescent="0.3">
      <c r="A656" s="2" t="s">
        <v>1582</v>
      </c>
      <c r="B656" s="2" t="s">
        <v>1583</v>
      </c>
      <c r="C656" s="2" t="s">
        <v>88</v>
      </c>
      <c r="D656" s="2" t="s">
        <v>31</v>
      </c>
      <c r="E656" s="2" t="s">
        <v>44</v>
      </c>
      <c r="F656" s="2">
        <v>15</v>
      </c>
      <c r="G656" s="2">
        <v>1196.8699999999999</v>
      </c>
      <c r="H656" s="2">
        <v>17953.05</v>
      </c>
      <c r="I656" s="2">
        <v>11303.99</v>
      </c>
      <c r="J656" s="2">
        <v>6649.06</v>
      </c>
      <c r="K656" s="3">
        <v>45873</v>
      </c>
      <c r="L656" s="3">
        <v>45878</v>
      </c>
      <c r="M656" s="2" t="s">
        <v>45</v>
      </c>
      <c r="N656" s="2">
        <v>2</v>
      </c>
      <c r="O656" s="2" t="s">
        <v>235</v>
      </c>
      <c r="P656" s="25">
        <v>9.8000000000000007</v>
      </c>
      <c r="Q656" t="str">
        <f t="shared" si="91"/>
        <v>0655</v>
      </c>
      <c r="R656" t="str">
        <f>IF('RETAIL SALES DATA.'!H656&gt;AVERAGE('RETAIL SALES DATA.'!H656:H1655),"HIGHEST VALUE","LOWEST VALUE")</f>
        <v>LOWEST VALUE</v>
      </c>
      <c r="S656" t="str">
        <f t="shared" si="92"/>
        <v>Profit</v>
      </c>
      <c r="T656" t="str">
        <f t="shared" si="93"/>
        <v>Dana Bartlett</v>
      </c>
      <c r="U656" t="str">
        <f t="shared" si="94"/>
        <v>Cupboard</v>
      </c>
      <c r="V656">
        <f t="shared" si="95"/>
        <v>2025</v>
      </c>
      <c r="W656">
        <f t="shared" si="96"/>
        <v>8</v>
      </c>
      <c r="X656">
        <f t="shared" si="97"/>
        <v>4</v>
      </c>
      <c r="Y656" t="str">
        <f t="shared" si="98"/>
        <v>Aug</v>
      </c>
      <c r="Z656">
        <f t="shared" si="99"/>
        <v>5</v>
      </c>
    </row>
    <row r="657" spans="1:26" ht="15.75" customHeight="1" x14ac:dyDescent="0.3">
      <c r="A657" s="2" t="s">
        <v>1584</v>
      </c>
      <c r="B657" s="2" t="s">
        <v>1585</v>
      </c>
      <c r="C657" s="2" t="s">
        <v>144</v>
      </c>
      <c r="D657" s="2" t="s">
        <v>19</v>
      </c>
      <c r="E657" s="2" t="s">
        <v>32</v>
      </c>
      <c r="F657" s="2">
        <v>17</v>
      </c>
      <c r="G657" s="2">
        <v>104.29</v>
      </c>
      <c r="H657" s="2">
        <v>1772.93</v>
      </c>
      <c r="I657" s="2">
        <v>1321.41</v>
      </c>
      <c r="J657" s="2">
        <v>451.52</v>
      </c>
      <c r="K657" s="3">
        <v>45717</v>
      </c>
      <c r="L657" s="3">
        <v>45722</v>
      </c>
      <c r="M657" s="2" t="s">
        <v>38</v>
      </c>
      <c r="N657" s="2">
        <v>1</v>
      </c>
      <c r="O657" s="2" t="s">
        <v>184</v>
      </c>
      <c r="P657" s="25">
        <v>9.4</v>
      </c>
      <c r="Q657" t="str">
        <f t="shared" si="91"/>
        <v>0656</v>
      </c>
      <c r="R657" t="str">
        <f>IF('RETAIL SALES DATA.'!H657&gt;AVERAGE('RETAIL SALES DATA.'!H657:H1656),"HIGHEST VALUE","LOWEST VALUE")</f>
        <v>LOWEST VALUE</v>
      </c>
      <c r="S657" t="str">
        <f t="shared" si="92"/>
        <v>Profit</v>
      </c>
      <c r="T657" t="str">
        <f t="shared" si="93"/>
        <v>Gary Scott</v>
      </c>
      <c r="U657" t="str">
        <f t="shared" si="94"/>
        <v>File</v>
      </c>
      <c r="V657">
        <f t="shared" si="95"/>
        <v>2025</v>
      </c>
      <c r="W657">
        <f t="shared" si="96"/>
        <v>3</v>
      </c>
      <c r="X657">
        <f t="shared" si="97"/>
        <v>1</v>
      </c>
      <c r="Y657" t="str">
        <f t="shared" si="98"/>
        <v>Mar</v>
      </c>
      <c r="Z657">
        <f t="shared" si="99"/>
        <v>5</v>
      </c>
    </row>
    <row r="658" spans="1:26" ht="15.75" customHeight="1" x14ac:dyDescent="0.3">
      <c r="A658" s="2" t="s">
        <v>1586</v>
      </c>
      <c r="B658" s="2" t="s">
        <v>1587</v>
      </c>
      <c r="C658" s="2" t="s">
        <v>62</v>
      </c>
      <c r="D658" s="2" t="s">
        <v>31</v>
      </c>
      <c r="E658" s="2" t="s">
        <v>25</v>
      </c>
      <c r="F658" s="2">
        <v>20</v>
      </c>
      <c r="G658" s="2">
        <v>150.38999999999999</v>
      </c>
      <c r="H658" s="2">
        <v>3007.8</v>
      </c>
      <c r="I658" s="2">
        <v>1968.12</v>
      </c>
      <c r="J658" s="2">
        <v>1039.68</v>
      </c>
      <c r="K658" s="3">
        <v>45972</v>
      </c>
      <c r="L658" s="3">
        <v>45979</v>
      </c>
      <c r="M658" s="2" t="s">
        <v>58</v>
      </c>
      <c r="N658" s="2">
        <v>5</v>
      </c>
      <c r="O658" s="2" t="s">
        <v>1239</v>
      </c>
      <c r="P658" s="25">
        <v>9.6999999999999993</v>
      </c>
      <c r="Q658" t="str">
        <f t="shared" si="91"/>
        <v>0657</v>
      </c>
      <c r="R658" t="str">
        <f>IF('RETAIL SALES DATA.'!H658&gt;AVERAGE('RETAIL SALES DATA.'!H658:H1657),"HIGHEST VALUE","LOWEST VALUE")</f>
        <v>LOWEST VALUE</v>
      </c>
      <c r="S658" t="str">
        <f t="shared" si="92"/>
        <v>Profit</v>
      </c>
      <c r="T658" t="str">
        <f t="shared" si="93"/>
        <v>Tamara Fernandez</v>
      </c>
      <c r="U658" t="str">
        <f t="shared" si="94"/>
        <v>Table</v>
      </c>
      <c r="V658">
        <f t="shared" si="95"/>
        <v>2025</v>
      </c>
      <c r="W658">
        <f t="shared" si="96"/>
        <v>11</v>
      </c>
      <c r="X658">
        <f t="shared" si="97"/>
        <v>11</v>
      </c>
      <c r="Y658" t="str">
        <f t="shared" si="98"/>
        <v>Nov</v>
      </c>
      <c r="Z658">
        <f t="shared" si="99"/>
        <v>7</v>
      </c>
    </row>
    <row r="659" spans="1:26" ht="15.75" customHeight="1" x14ac:dyDescent="0.3">
      <c r="A659" s="2" t="s">
        <v>1588</v>
      </c>
      <c r="B659" s="2" t="s">
        <v>1589</v>
      </c>
      <c r="C659" s="2" t="s">
        <v>144</v>
      </c>
      <c r="D659" s="2" t="s">
        <v>19</v>
      </c>
      <c r="E659" s="2" t="s">
        <v>20</v>
      </c>
      <c r="F659" s="2">
        <v>16</v>
      </c>
      <c r="G659" s="2">
        <v>1236.3900000000001</v>
      </c>
      <c r="H659" s="2">
        <v>19782.240000000002</v>
      </c>
      <c r="I659" s="2">
        <v>14793.36</v>
      </c>
      <c r="J659" s="2">
        <v>4988.88</v>
      </c>
      <c r="K659" s="3">
        <v>45541</v>
      </c>
      <c r="L659" s="3">
        <v>45543</v>
      </c>
      <c r="M659" s="2" t="s">
        <v>38</v>
      </c>
      <c r="N659" s="2">
        <v>5</v>
      </c>
      <c r="O659" s="2" t="s">
        <v>780</v>
      </c>
      <c r="P659" s="25">
        <v>6.7</v>
      </c>
      <c r="Q659" t="str">
        <f t="shared" si="91"/>
        <v>0658</v>
      </c>
      <c r="R659" t="str">
        <f>IF('RETAIL SALES DATA.'!H659&gt;AVERAGE('RETAIL SALES DATA.'!H659:H1658),"HIGHEST VALUE","LOWEST VALUE")</f>
        <v>LOWEST VALUE</v>
      </c>
      <c r="S659" t="str">
        <f t="shared" si="92"/>
        <v>Profit</v>
      </c>
      <c r="T659" t="str">
        <f t="shared" si="93"/>
        <v>Paul Mcdaniel</v>
      </c>
      <c r="U659" t="str">
        <f t="shared" si="94"/>
        <v>File</v>
      </c>
      <c r="V659">
        <f t="shared" si="95"/>
        <v>2024</v>
      </c>
      <c r="W659">
        <f t="shared" si="96"/>
        <v>9</v>
      </c>
      <c r="X659">
        <f t="shared" si="97"/>
        <v>6</v>
      </c>
      <c r="Y659" t="str">
        <f t="shared" si="98"/>
        <v>Sep</v>
      </c>
      <c r="Z659">
        <f t="shared" si="99"/>
        <v>2</v>
      </c>
    </row>
    <row r="660" spans="1:26" ht="15.75" customHeight="1" x14ac:dyDescent="0.3">
      <c r="A660" s="2" t="s">
        <v>1590</v>
      </c>
      <c r="B660" s="2" t="s">
        <v>1591</v>
      </c>
      <c r="C660" s="2" t="s">
        <v>88</v>
      </c>
      <c r="D660" s="2" t="s">
        <v>31</v>
      </c>
      <c r="E660" s="2" t="s">
        <v>44</v>
      </c>
      <c r="F660" s="2">
        <v>2</v>
      </c>
      <c r="G660" s="2">
        <v>4921.25</v>
      </c>
      <c r="H660" s="2">
        <v>9842.5</v>
      </c>
      <c r="I660" s="2">
        <v>5734.56</v>
      </c>
      <c r="J660" s="2">
        <v>4107.9399999999996</v>
      </c>
      <c r="K660" s="3">
        <v>45962</v>
      </c>
      <c r="L660" s="3">
        <v>45967</v>
      </c>
      <c r="M660" s="2" t="s">
        <v>50</v>
      </c>
      <c r="N660" s="2">
        <v>1</v>
      </c>
      <c r="O660" s="2" t="s">
        <v>551</v>
      </c>
      <c r="P660" s="25">
        <v>6.4</v>
      </c>
      <c r="Q660" t="str">
        <f t="shared" si="91"/>
        <v>0659</v>
      </c>
      <c r="R660" t="str">
        <f>IF('RETAIL SALES DATA.'!H660&gt;AVERAGE('RETAIL SALES DATA.'!H660:H1659),"HIGHEST VALUE","LOWEST VALUE")</f>
        <v>LOWEST VALUE</v>
      </c>
      <c r="S660" t="str">
        <f t="shared" si="92"/>
        <v>Profit</v>
      </c>
      <c r="T660" t="str">
        <f t="shared" si="93"/>
        <v>Gabriel Park</v>
      </c>
      <c r="U660" t="str">
        <f t="shared" si="94"/>
        <v>Cupboard</v>
      </c>
      <c r="V660">
        <f t="shared" si="95"/>
        <v>2025</v>
      </c>
      <c r="W660">
        <f t="shared" si="96"/>
        <v>11</v>
      </c>
      <c r="X660">
        <f t="shared" si="97"/>
        <v>1</v>
      </c>
      <c r="Y660" t="str">
        <f t="shared" si="98"/>
        <v>Nov</v>
      </c>
      <c r="Z660">
        <f t="shared" si="99"/>
        <v>5</v>
      </c>
    </row>
    <row r="661" spans="1:26" ht="15.75" customHeight="1" x14ac:dyDescent="0.3">
      <c r="A661" s="2" t="s">
        <v>1592</v>
      </c>
      <c r="B661" s="2" t="s">
        <v>1593</v>
      </c>
      <c r="C661" s="2" t="s">
        <v>30</v>
      </c>
      <c r="D661" s="2" t="s">
        <v>31</v>
      </c>
      <c r="E661" s="2" t="s">
        <v>25</v>
      </c>
      <c r="F661" s="2">
        <v>9</v>
      </c>
      <c r="G661" s="2">
        <v>901.03</v>
      </c>
      <c r="H661" s="2">
        <v>8109.27</v>
      </c>
      <c r="I661" s="2">
        <v>7058.11</v>
      </c>
      <c r="J661" s="2">
        <v>1051.1600000000001</v>
      </c>
      <c r="K661" s="3">
        <v>46136</v>
      </c>
      <c r="L661" s="3">
        <v>46143</v>
      </c>
      <c r="M661" s="2" t="s">
        <v>33</v>
      </c>
      <c r="N661" s="2">
        <v>1</v>
      </c>
      <c r="O661" s="2" t="s">
        <v>615</v>
      </c>
      <c r="P661" s="25">
        <v>7.1</v>
      </c>
      <c r="Q661" t="str">
        <f t="shared" si="91"/>
        <v>0660</v>
      </c>
      <c r="R661" t="str">
        <f>IF('RETAIL SALES DATA.'!H661&gt;AVERAGE('RETAIL SALES DATA.'!H661:H1660),"HIGHEST VALUE","LOWEST VALUE")</f>
        <v>LOWEST VALUE</v>
      </c>
      <c r="S661" t="str">
        <f t="shared" si="92"/>
        <v>Profit</v>
      </c>
      <c r="T661" t="str">
        <f t="shared" si="93"/>
        <v>Caitlyn Osborne</v>
      </c>
      <c r="U661" t="str">
        <f t="shared" si="94"/>
        <v>Desk</v>
      </c>
      <c r="V661">
        <f t="shared" si="95"/>
        <v>2026</v>
      </c>
      <c r="W661">
        <f t="shared" si="96"/>
        <v>5</v>
      </c>
      <c r="X661">
        <f t="shared" si="97"/>
        <v>24</v>
      </c>
      <c r="Y661" t="str">
        <f t="shared" si="98"/>
        <v>Apr</v>
      </c>
      <c r="Z661">
        <f t="shared" si="99"/>
        <v>7</v>
      </c>
    </row>
    <row r="662" spans="1:26" ht="15.75" customHeight="1" x14ac:dyDescent="0.3">
      <c r="A662" s="2" t="s">
        <v>1594</v>
      </c>
      <c r="B662" s="2" t="s">
        <v>1595</v>
      </c>
      <c r="C662" s="2" t="s">
        <v>30</v>
      </c>
      <c r="D662" s="2" t="s">
        <v>31</v>
      </c>
      <c r="E662" s="2" t="s">
        <v>44</v>
      </c>
      <c r="F662" s="2">
        <v>16</v>
      </c>
      <c r="G662" s="2">
        <v>3092.53</v>
      </c>
      <c r="H662" s="2">
        <v>49480.480000000003</v>
      </c>
      <c r="I662" s="2">
        <v>32408.12</v>
      </c>
      <c r="J662" s="2">
        <v>17072.36</v>
      </c>
      <c r="K662" s="3">
        <v>45496</v>
      </c>
      <c r="L662" s="3">
        <v>45500</v>
      </c>
      <c r="M662" s="2" t="s">
        <v>181</v>
      </c>
      <c r="N662" s="2">
        <v>3</v>
      </c>
      <c r="O662" s="2" t="s">
        <v>597</v>
      </c>
      <c r="P662" s="25">
        <v>9.5</v>
      </c>
      <c r="Q662" t="str">
        <f t="shared" si="91"/>
        <v>0661</v>
      </c>
      <c r="R662" t="str">
        <f>IF('RETAIL SALES DATA.'!H662&gt;AVERAGE('RETAIL SALES DATA.'!H662:H1661),"HIGHEST VALUE","LOWEST VALUE")</f>
        <v>HIGHEST VALUE</v>
      </c>
      <c r="S662" t="str">
        <f t="shared" si="92"/>
        <v>Profit</v>
      </c>
      <c r="T662" t="str">
        <f t="shared" si="93"/>
        <v>Ryan Bryant</v>
      </c>
      <c r="U662" t="str">
        <f t="shared" si="94"/>
        <v>Desk</v>
      </c>
      <c r="V662">
        <f t="shared" si="95"/>
        <v>2024</v>
      </c>
      <c r="W662">
        <f t="shared" si="96"/>
        <v>7</v>
      </c>
      <c r="X662">
        <f t="shared" si="97"/>
        <v>23</v>
      </c>
      <c r="Y662" t="str">
        <f t="shared" si="98"/>
        <v>Jul</v>
      </c>
      <c r="Z662">
        <f t="shared" si="99"/>
        <v>4</v>
      </c>
    </row>
    <row r="663" spans="1:26" ht="15.75" customHeight="1" x14ac:dyDescent="0.3">
      <c r="A663" s="2" t="s">
        <v>1596</v>
      </c>
      <c r="B663" s="2" t="s">
        <v>1597</v>
      </c>
      <c r="C663" s="2" t="s">
        <v>139</v>
      </c>
      <c r="D663" s="2" t="s">
        <v>31</v>
      </c>
      <c r="E663" s="2" t="s">
        <v>32</v>
      </c>
      <c r="F663" s="2">
        <v>1</v>
      </c>
      <c r="G663" s="2">
        <v>2657.64</v>
      </c>
      <c r="H663" s="2">
        <v>2657.64</v>
      </c>
      <c r="I663" s="2">
        <v>1381.35</v>
      </c>
      <c r="J663" s="2">
        <v>1276.29</v>
      </c>
      <c r="K663" s="3">
        <v>45764</v>
      </c>
      <c r="L663" s="3">
        <v>45771</v>
      </c>
      <c r="M663" s="2" t="s">
        <v>50</v>
      </c>
      <c r="N663" s="2">
        <v>4</v>
      </c>
      <c r="O663" s="2" t="s">
        <v>823</v>
      </c>
      <c r="P663" s="25">
        <v>7.6</v>
      </c>
      <c r="Q663" t="str">
        <f t="shared" si="91"/>
        <v>0662</v>
      </c>
      <c r="R663" t="str">
        <f>IF('RETAIL SALES DATA.'!H663&gt;AVERAGE('RETAIL SALES DATA.'!H663:H1662),"HIGHEST VALUE","LOWEST VALUE")</f>
        <v>LOWEST VALUE</v>
      </c>
      <c r="S663" t="str">
        <f t="shared" si="92"/>
        <v>Profit</v>
      </c>
      <c r="T663" t="str">
        <f t="shared" si="93"/>
        <v>Ryan Carter</v>
      </c>
      <c r="U663" t="str">
        <f t="shared" si="94"/>
        <v>Sofa</v>
      </c>
      <c r="V663">
        <f t="shared" si="95"/>
        <v>2025</v>
      </c>
      <c r="W663">
        <f t="shared" si="96"/>
        <v>4</v>
      </c>
      <c r="X663">
        <f t="shared" si="97"/>
        <v>17</v>
      </c>
      <c r="Y663" t="str">
        <f t="shared" si="98"/>
        <v>Apr</v>
      </c>
      <c r="Z663">
        <f t="shared" si="99"/>
        <v>7</v>
      </c>
    </row>
    <row r="664" spans="1:26" ht="15.75" customHeight="1" x14ac:dyDescent="0.3">
      <c r="A664" s="2" t="s">
        <v>1598</v>
      </c>
      <c r="B664" s="2" t="s">
        <v>1599</v>
      </c>
      <c r="C664" s="2" t="s">
        <v>88</v>
      </c>
      <c r="D664" s="2" t="s">
        <v>31</v>
      </c>
      <c r="E664" s="2" t="s">
        <v>44</v>
      </c>
      <c r="F664" s="2">
        <v>14</v>
      </c>
      <c r="G664" s="2">
        <v>4592.45</v>
      </c>
      <c r="H664" s="2">
        <v>64294.3</v>
      </c>
      <c r="I664" s="2">
        <v>45703.21</v>
      </c>
      <c r="J664" s="2">
        <v>18591.09</v>
      </c>
      <c r="K664" s="3">
        <v>45928</v>
      </c>
      <c r="L664" s="3">
        <v>45938</v>
      </c>
      <c r="M664" s="2" t="s">
        <v>69</v>
      </c>
      <c r="N664" s="2">
        <v>5</v>
      </c>
      <c r="O664" s="2" t="s">
        <v>22</v>
      </c>
      <c r="P664" s="25">
        <v>7.3</v>
      </c>
      <c r="Q664" t="str">
        <f t="shared" si="91"/>
        <v>0663</v>
      </c>
      <c r="R664" t="str">
        <f>IF('RETAIL SALES DATA.'!H664&gt;AVERAGE('RETAIL SALES DATA.'!H664:H1663),"HIGHEST VALUE","LOWEST VALUE")</f>
        <v>HIGHEST VALUE</v>
      </c>
      <c r="S664" t="str">
        <f t="shared" si="92"/>
        <v>Profit</v>
      </c>
      <c r="T664" t="str">
        <f t="shared" si="93"/>
        <v>Alexander Hoover</v>
      </c>
      <c r="U664" t="str">
        <f t="shared" si="94"/>
        <v>Cupboard</v>
      </c>
      <c r="V664">
        <f t="shared" si="95"/>
        <v>2025</v>
      </c>
      <c r="W664">
        <f t="shared" si="96"/>
        <v>10</v>
      </c>
      <c r="X664">
        <f t="shared" si="97"/>
        <v>28</v>
      </c>
      <c r="Y664" t="str">
        <f t="shared" si="98"/>
        <v>Sep</v>
      </c>
      <c r="Z664">
        <f t="shared" si="99"/>
        <v>10</v>
      </c>
    </row>
    <row r="665" spans="1:26" ht="15.75" customHeight="1" x14ac:dyDescent="0.3">
      <c r="A665" s="2" t="s">
        <v>1600</v>
      </c>
      <c r="B665" s="2" t="s">
        <v>1601</v>
      </c>
      <c r="C665" s="2" t="s">
        <v>18</v>
      </c>
      <c r="D665" s="2" t="s">
        <v>19</v>
      </c>
      <c r="E665" s="2" t="s">
        <v>32</v>
      </c>
      <c r="F665" s="2">
        <v>8</v>
      </c>
      <c r="G665" s="2">
        <v>1008.31</v>
      </c>
      <c r="H665" s="2">
        <v>8066.48</v>
      </c>
      <c r="I665" s="2">
        <v>5463.95</v>
      </c>
      <c r="J665" s="2">
        <v>2602.5300000000002</v>
      </c>
      <c r="K665" s="3">
        <v>45575</v>
      </c>
      <c r="L665" s="3">
        <v>45578</v>
      </c>
      <c r="M665" s="2" t="s">
        <v>50</v>
      </c>
      <c r="N665" s="2">
        <v>2</v>
      </c>
      <c r="O665" s="2" t="s">
        <v>515</v>
      </c>
      <c r="P665" s="25">
        <v>6.6</v>
      </c>
      <c r="Q665" t="str">
        <f t="shared" si="91"/>
        <v>0664</v>
      </c>
      <c r="R665" t="str">
        <f>IF('RETAIL SALES DATA.'!H665&gt;AVERAGE('RETAIL SALES DATA.'!H665:H1664),"HIGHEST VALUE","LOWEST VALUE")</f>
        <v>LOWEST VALUE</v>
      </c>
      <c r="S665" t="str">
        <f t="shared" si="92"/>
        <v>Profit</v>
      </c>
      <c r="T665" t="str">
        <f t="shared" si="93"/>
        <v>Laura Pearson</v>
      </c>
      <c r="U665" t="str">
        <f t="shared" si="94"/>
        <v>Pen</v>
      </c>
      <c r="V665">
        <f t="shared" si="95"/>
        <v>2024</v>
      </c>
      <c r="W665">
        <f t="shared" si="96"/>
        <v>10</v>
      </c>
      <c r="X665">
        <f t="shared" si="97"/>
        <v>10</v>
      </c>
      <c r="Y665" t="str">
        <f t="shared" si="98"/>
        <v>Oct</v>
      </c>
      <c r="Z665">
        <f t="shared" si="99"/>
        <v>3</v>
      </c>
    </row>
    <row r="666" spans="1:26" ht="15.75" customHeight="1" x14ac:dyDescent="0.3">
      <c r="A666" s="2" t="s">
        <v>1602</v>
      </c>
      <c r="B666" s="2" t="s">
        <v>1603</v>
      </c>
      <c r="C666" s="2" t="s">
        <v>72</v>
      </c>
      <c r="D666" s="2" t="s">
        <v>31</v>
      </c>
      <c r="E666" s="2" t="s">
        <v>20</v>
      </c>
      <c r="F666" s="2">
        <v>12</v>
      </c>
      <c r="G666" s="2">
        <v>2174.79</v>
      </c>
      <c r="H666" s="2">
        <v>26097.48</v>
      </c>
      <c r="I666" s="2">
        <v>20911.32</v>
      </c>
      <c r="J666" s="2">
        <v>5186.16</v>
      </c>
      <c r="K666" s="3">
        <v>45788</v>
      </c>
      <c r="L666" s="3">
        <v>45794</v>
      </c>
      <c r="M666" s="2" t="s">
        <v>181</v>
      </c>
      <c r="N666" s="2">
        <v>4</v>
      </c>
      <c r="O666" s="2" t="s">
        <v>414</v>
      </c>
      <c r="P666" s="25">
        <v>8.1999999999999993</v>
      </c>
      <c r="Q666" t="str">
        <f t="shared" si="91"/>
        <v>0665</v>
      </c>
      <c r="R666" t="str">
        <f>IF('RETAIL SALES DATA.'!H666&gt;AVERAGE('RETAIL SALES DATA.'!H666:H1665),"HIGHEST VALUE","LOWEST VALUE")</f>
        <v>LOWEST VALUE</v>
      </c>
      <c r="S666" t="str">
        <f t="shared" si="92"/>
        <v>Profit</v>
      </c>
      <c r="T666" t="str">
        <f t="shared" si="93"/>
        <v>Garrett Cox</v>
      </c>
      <c r="U666" t="str">
        <f t="shared" si="94"/>
        <v>Chair</v>
      </c>
      <c r="V666">
        <f t="shared" si="95"/>
        <v>2025</v>
      </c>
      <c r="W666">
        <f t="shared" si="96"/>
        <v>5</v>
      </c>
      <c r="X666">
        <f t="shared" si="97"/>
        <v>11</v>
      </c>
      <c r="Y666" t="str">
        <f t="shared" si="98"/>
        <v>May</v>
      </c>
      <c r="Z666">
        <f t="shared" si="99"/>
        <v>6</v>
      </c>
    </row>
    <row r="667" spans="1:26" ht="15.75" customHeight="1" x14ac:dyDescent="0.3">
      <c r="A667" s="2" t="s">
        <v>1604</v>
      </c>
      <c r="B667" s="2" t="s">
        <v>1605</v>
      </c>
      <c r="C667" s="2" t="s">
        <v>18</v>
      </c>
      <c r="D667" s="2" t="s">
        <v>19</v>
      </c>
      <c r="E667" s="2" t="s">
        <v>44</v>
      </c>
      <c r="F667" s="2">
        <v>17</v>
      </c>
      <c r="G667" s="2">
        <v>567.80999999999995</v>
      </c>
      <c r="H667" s="2">
        <v>9652.77</v>
      </c>
      <c r="I667" s="2">
        <v>8177.22</v>
      </c>
      <c r="J667" s="2">
        <v>1475.55</v>
      </c>
      <c r="K667" s="3">
        <v>45545</v>
      </c>
      <c r="L667" s="3">
        <v>45550</v>
      </c>
      <c r="M667" s="2" t="s">
        <v>181</v>
      </c>
      <c r="N667" s="2">
        <v>3</v>
      </c>
      <c r="O667" s="2" t="s">
        <v>96</v>
      </c>
      <c r="P667" s="25">
        <v>8.6</v>
      </c>
      <c r="Q667" t="str">
        <f t="shared" si="91"/>
        <v>0666</v>
      </c>
      <c r="R667" t="str">
        <f>IF('RETAIL SALES DATA.'!H667&gt;AVERAGE('RETAIL SALES DATA.'!H667:H1666),"HIGHEST VALUE","LOWEST VALUE")</f>
        <v>LOWEST VALUE</v>
      </c>
      <c r="S667" t="str">
        <f t="shared" si="92"/>
        <v>Profit</v>
      </c>
      <c r="T667" t="str">
        <f t="shared" si="93"/>
        <v>Heather Mayer</v>
      </c>
      <c r="U667" t="str">
        <f t="shared" si="94"/>
        <v>Pen</v>
      </c>
      <c r="V667">
        <f t="shared" si="95"/>
        <v>2024</v>
      </c>
      <c r="W667">
        <f t="shared" si="96"/>
        <v>9</v>
      </c>
      <c r="X667">
        <f t="shared" si="97"/>
        <v>10</v>
      </c>
      <c r="Y667" t="str">
        <f t="shared" si="98"/>
        <v>Sep</v>
      </c>
      <c r="Z667">
        <f t="shared" si="99"/>
        <v>5</v>
      </c>
    </row>
    <row r="668" spans="1:26" ht="15.75" customHeight="1" x14ac:dyDescent="0.3">
      <c r="A668" s="2" t="s">
        <v>1606</v>
      </c>
      <c r="B668" s="2" t="s">
        <v>1607</v>
      </c>
      <c r="C668" s="2" t="s">
        <v>30</v>
      </c>
      <c r="D668" s="2" t="s">
        <v>31</v>
      </c>
      <c r="E668" s="2" t="s">
        <v>20</v>
      </c>
      <c r="F668" s="2">
        <v>9</v>
      </c>
      <c r="G668" s="2">
        <v>98.71</v>
      </c>
      <c r="H668" s="2">
        <v>888.39</v>
      </c>
      <c r="I668" s="2">
        <v>486.95</v>
      </c>
      <c r="J668" s="2">
        <v>401.44</v>
      </c>
      <c r="K668" s="3">
        <v>45465</v>
      </c>
      <c r="L668" s="3">
        <v>45473</v>
      </c>
      <c r="M668" s="2" t="s">
        <v>33</v>
      </c>
      <c r="N668" s="2">
        <v>1</v>
      </c>
      <c r="O668" s="2" t="s">
        <v>591</v>
      </c>
      <c r="P668" s="25">
        <v>9.4</v>
      </c>
      <c r="Q668" t="str">
        <f t="shared" si="91"/>
        <v>0667</v>
      </c>
      <c r="R668" t="str">
        <f>IF('RETAIL SALES DATA.'!H668&gt;AVERAGE('RETAIL SALES DATA.'!H668:H1667),"HIGHEST VALUE","LOWEST VALUE")</f>
        <v>LOWEST VALUE</v>
      </c>
      <c r="S668" t="str">
        <f t="shared" si="92"/>
        <v>Profit</v>
      </c>
      <c r="T668" t="str">
        <f t="shared" si="93"/>
        <v>Kevin Miller</v>
      </c>
      <c r="U668" t="str">
        <f t="shared" si="94"/>
        <v>Desk</v>
      </c>
      <c r="V668">
        <f t="shared" si="95"/>
        <v>2024</v>
      </c>
      <c r="W668">
        <f t="shared" si="96"/>
        <v>6</v>
      </c>
      <c r="X668">
        <f t="shared" si="97"/>
        <v>22</v>
      </c>
      <c r="Y668" t="str">
        <f t="shared" si="98"/>
        <v>Jun</v>
      </c>
      <c r="Z668">
        <f t="shared" si="99"/>
        <v>8</v>
      </c>
    </row>
    <row r="669" spans="1:26" ht="15.75" customHeight="1" x14ac:dyDescent="0.3">
      <c r="A669" s="2" t="s">
        <v>1608</v>
      </c>
      <c r="B669" s="2" t="s">
        <v>1609</v>
      </c>
      <c r="C669" s="2" t="s">
        <v>30</v>
      </c>
      <c r="D669" s="2" t="s">
        <v>31</v>
      </c>
      <c r="E669" s="2" t="s">
        <v>25</v>
      </c>
      <c r="F669" s="2">
        <v>18</v>
      </c>
      <c r="G669" s="2">
        <v>4900.91</v>
      </c>
      <c r="H669" s="2">
        <v>88216.38</v>
      </c>
      <c r="I669" s="2">
        <v>70901.45</v>
      </c>
      <c r="J669" s="2">
        <v>17314.93</v>
      </c>
      <c r="K669" s="3">
        <v>45588</v>
      </c>
      <c r="L669" s="3">
        <v>45592</v>
      </c>
      <c r="M669" s="2" t="s">
        <v>181</v>
      </c>
      <c r="N669" s="2">
        <v>3</v>
      </c>
      <c r="O669" s="2" t="s">
        <v>205</v>
      </c>
      <c r="P669" s="25">
        <v>8.6999999999999993</v>
      </c>
      <c r="Q669" t="str">
        <f t="shared" si="91"/>
        <v>0668</v>
      </c>
      <c r="R669" t="str">
        <f>IF('RETAIL SALES DATA.'!H669&gt;AVERAGE('RETAIL SALES DATA.'!H669:H1668),"HIGHEST VALUE","LOWEST VALUE")</f>
        <v>HIGHEST VALUE</v>
      </c>
      <c r="S669" t="str">
        <f t="shared" si="92"/>
        <v>Profit</v>
      </c>
      <c r="T669" t="str">
        <f t="shared" si="93"/>
        <v>Andrew Velez</v>
      </c>
      <c r="U669" t="str">
        <f t="shared" si="94"/>
        <v>Desk</v>
      </c>
      <c r="V669">
        <f t="shared" si="95"/>
        <v>2024</v>
      </c>
      <c r="W669">
        <f t="shared" si="96"/>
        <v>10</v>
      </c>
      <c r="X669">
        <f t="shared" si="97"/>
        <v>23</v>
      </c>
      <c r="Y669" t="str">
        <f t="shared" si="98"/>
        <v>Oct</v>
      </c>
      <c r="Z669">
        <f t="shared" si="99"/>
        <v>4</v>
      </c>
    </row>
    <row r="670" spans="1:26" ht="15.75" customHeight="1" x14ac:dyDescent="0.3">
      <c r="A670" s="2" t="s">
        <v>1610</v>
      </c>
      <c r="B670" s="2" t="s">
        <v>590</v>
      </c>
      <c r="C670" s="2" t="s">
        <v>168</v>
      </c>
      <c r="D670" s="2" t="s">
        <v>43</v>
      </c>
      <c r="E670" s="2" t="s">
        <v>32</v>
      </c>
      <c r="F670" s="2">
        <v>10</v>
      </c>
      <c r="G670" s="2">
        <v>2512.63</v>
      </c>
      <c r="H670" s="2">
        <v>25126.3</v>
      </c>
      <c r="I670" s="2">
        <v>21735.91</v>
      </c>
      <c r="J670" s="2">
        <v>3390.39</v>
      </c>
      <c r="K670" s="3">
        <v>46015</v>
      </c>
      <c r="L670" s="3">
        <v>46018</v>
      </c>
      <c r="M670" s="2" t="s">
        <v>58</v>
      </c>
      <c r="N670" s="2">
        <v>4</v>
      </c>
      <c r="O670" s="2" t="s">
        <v>1048</v>
      </c>
      <c r="P670" s="25">
        <v>9.6</v>
      </c>
      <c r="Q670" t="str">
        <f t="shared" si="91"/>
        <v>0669</v>
      </c>
      <c r="R670" t="str">
        <f>IF('RETAIL SALES DATA.'!H670&gt;AVERAGE('RETAIL SALES DATA.'!H670:H1669),"HIGHEST VALUE","LOWEST VALUE")</f>
        <v>LOWEST VALUE</v>
      </c>
      <c r="S670" t="str">
        <f t="shared" si="92"/>
        <v>Profit</v>
      </c>
      <c r="T670" t="str">
        <f t="shared" si="93"/>
        <v>Tyler Williams</v>
      </c>
      <c r="U670" t="str">
        <f t="shared" si="94"/>
        <v>Keyboard</v>
      </c>
      <c r="V670">
        <f t="shared" si="95"/>
        <v>2025</v>
      </c>
      <c r="W670">
        <f t="shared" si="96"/>
        <v>12</v>
      </c>
      <c r="X670">
        <f t="shared" si="97"/>
        <v>24</v>
      </c>
      <c r="Y670" t="str">
        <f t="shared" si="98"/>
        <v>Dec</v>
      </c>
      <c r="Z670">
        <f t="shared" si="99"/>
        <v>3</v>
      </c>
    </row>
    <row r="671" spans="1:26" ht="15.75" customHeight="1" x14ac:dyDescent="0.3">
      <c r="A671" s="2" t="s">
        <v>1611</v>
      </c>
      <c r="B671" s="2" t="s">
        <v>1612</v>
      </c>
      <c r="C671" s="2" t="s">
        <v>18</v>
      </c>
      <c r="D671" s="2" t="s">
        <v>19</v>
      </c>
      <c r="E671" s="2" t="s">
        <v>25</v>
      </c>
      <c r="F671" s="2">
        <v>16</v>
      </c>
      <c r="G671" s="2">
        <v>933.7</v>
      </c>
      <c r="H671" s="2">
        <v>14939.2</v>
      </c>
      <c r="I671" s="2">
        <v>8376.74</v>
      </c>
      <c r="J671" s="2">
        <v>6562.46</v>
      </c>
      <c r="K671" s="3">
        <v>45773</v>
      </c>
      <c r="L671" s="3">
        <v>45777</v>
      </c>
      <c r="M671" s="2" t="s">
        <v>45</v>
      </c>
      <c r="N671" s="2">
        <v>5</v>
      </c>
      <c r="O671" s="2" t="s">
        <v>172</v>
      </c>
      <c r="P671" s="25">
        <v>6.6</v>
      </c>
      <c r="Q671" t="str">
        <f t="shared" si="91"/>
        <v>0670</v>
      </c>
      <c r="R671" t="str">
        <f>IF('RETAIL SALES DATA.'!H671&gt;AVERAGE('RETAIL SALES DATA.'!H671:H1670),"HIGHEST VALUE","LOWEST VALUE")</f>
        <v>LOWEST VALUE</v>
      </c>
      <c r="S671" t="str">
        <f t="shared" si="92"/>
        <v>Profit</v>
      </c>
      <c r="T671" t="str">
        <f t="shared" si="93"/>
        <v>Samuel Gomez</v>
      </c>
      <c r="U671" t="str">
        <f t="shared" si="94"/>
        <v>Pen</v>
      </c>
      <c r="V671">
        <f t="shared" si="95"/>
        <v>2025</v>
      </c>
      <c r="W671">
        <f t="shared" si="96"/>
        <v>4</v>
      </c>
      <c r="X671">
        <f t="shared" si="97"/>
        <v>26</v>
      </c>
      <c r="Y671" t="str">
        <f t="shared" si="98"/>
        <v>Apr</v>
      </c>
      <c r="Z671">
        <f t="shared" si="99"/>
        <v>4</v>
      </c>
    </row>
    <row r="672" spans="1:26" ht="15.75" customHeight="1" x14ac:dyDescent="0.3">
      <c r="A672" s="2" t="s">
        <v>1613</v>
      </c>
      <c r="B672" s="2" t="s">
        <v>1614</v>
      </c>
      <c r="C672" s="2" t="s">
        <v>37</v>
      </c>
      <c r="D672" s="2" t="s">
        <v>19</v>
      </c>
      <c r="E672" s="2" t="s">
        <v>20</v>
      </c>
      <c r="F672" s="2">
        <v>20</v>
      </c>
      <c r="G672" s="2">
        <v>3571.08</v>
      </c>
      <c r="H672" s="2">
        <v>71421.600000000006</v>
      </c>
      <c r="I672" s="2">
        <v>37639.660000000003</v>
      </c>
      <c r="J672" s="2">
        <v>33781.94</v>
      </c>
      <c r="K672" s="3">
        <v>45736</v>
      </c>
      <c r="L672" s="3">
        <v>45744</v>
      </c>
      <c r="M672" s="2" t="s">
        <v>123</v>
      </c>
      <c r="N672" s="2">
        <v>5</v>
      </c>
      <c r="O672" s="2" t="s">
        <v>318</v>
      </c>
      <c r="P672" s="25">
        <v>6.5</v>
      </c>
      <c r="Q672" t="str">
        <f t="shared" si="91"/>
        <v>0671</v>
      </c>
      <c r="R672" t="str">
        <f>IF('RETAIL SALES DATA.'!H672&gt;AVERAGE('RETAIL SALES DATA.'!H672:H1671),"HIGHEST VALUE","LOWEST VALUE")</f>
        <v>HIGHEST VALUE</v>
      </c>
      <c r="S672" t="str">
        <f t="shared" si="92"/>
        <v>Profit</v>
      </c>
      <c r="T672" t="str">
        <f t="shared" si="93"/>
        <v>Ronald Anderson</v>
      </c>
      <c r="U672" t="str">
        <f t="shared" si="94"/>
        <v>Marker</v>
      </c>
      <c r="V672">
        <f t="shared" si="95"/>
        <v>2025</v>
      </c>
      <c r="W672">
        <f t="shared" si="96"/>
        <v>3</v>
      </c>
      <c r="X672">
        <f t="shared" si="97"/>
        <v>20</v>
      </c>
      <c r="Y672" t="str">
        <f t="shared" si="98"/>
        <v>Mar</v>
      </c>
      <c r="Z672">
        <f t="shared" si="99"/>
        <v>8</v>
      </c>
    </row>
    <row r="673" spans="1:26" ht="15.75" customHeight="1" x14ac:dyDescent="0.3">
      <c r="A673" s="2" t="s">
        <v>1615</v>
      </c>
      <c r="B673" s="2" t="s">
        <v>1616</v>
      </c>
      <c r="C673" s="2" t="s">
        <v>95</v>
      </c>
      <c r="D673" s="2" t="s">
        <v>19</v>
      </c>
      <c r="E673" s="2" t="s">
        <v>20</v>
      </c>
      <c r="F673" s="2">
        <v>12</v>
      </c>
      <c r="G673" s="2">
        <v>3622.56</v>
      </c>
      <c r="H673" s="2">
        <v>43470.720000000001</v>
      </c>
      <c r="I673" s="2">
        <v>27764.240000000002</v>
      </c>
      <c r="J673" s="2">
        <v>15706.48</v>
      </c>
      <c r="K673" s="3">
        <v>46082</v>
      </c>
      <c r="L673" s="3">
        <v>46085</v>
      </c>
      <c r="M673" s="2" t="s">
        <v>123</v>
      </c>
      <c r="N673" s="2">
        <v>5</v>
      </c>
      <c r="O673" s="2" t="s">
        <v>785</v>
      </c>
      <c r="P673" s="25">
        <v>7.1</v>
      </c>
      <c r="Q673" t="str">
        <f t="shared" si="91"/>
        <v>0672</v>
      </c>
      <c r="R673" t="str">
        <f>IF('RETAIL SALES DATA.'!H673&gt;AVERAGE('RETAIL SALES DATA.'!H673:H1672),"HIGHEST VALUE","LOWEST VALUE")</f>
        <v>HIGHEST VALUE</v>
      </c>
      <c r="S673" t="str">
        <f t="shared" si="92"/>
        <v>Profit</v>
      </c>
      <c r="T673" t="str">
        <f t="shared" si="93"/>
        <v>Joseph Chen</v>
      </c>
      <c r="U673" t="str">
        <f t="shared" si="94"/>
        <v>Printer</v>
      </c>
      <c r="V673">
        <f t="shared" si="95"/>
        <v>2026</v>
      </c>
      <c r="W673">
        <f t="shared" si="96"/>
        <v>3</v>
      </c>
      <c r="X673">
        <f t="shared" si="97"/>
        <v>1</v>
      </c>
      <c r="Y673" t="str">
        <f t="shared" si="98"/>
        <v>Mar</v>
      </c>
      <c r="Z673">
        <f t="shared" si="99"/>
        <v>3</v>
      </c>
    </row>
    <row r="674" spans="1:26" ht="15.75" customHeight="1" x14ac:dyDescent="0.3">
      <c r="A674" s="2" t="s">
        <v>1617</v>
      </c>
      <c r="B674" s="2" t="s">
        <v>1618</v>
      </c>
      <c r="C674" s="2" t="s">
        <v>168</v>
      </c>
      <c r="D674" s="2" t="s">
        <v>43</v>
      </c>
      <c r="E674" s="2" t="s">
        <v>32</v>
      </c>
      <c r="F674" s="2">
        <v>13</v>
      </c>
      <c r="G674" s="2">
        <v>1133.6500000000001</v>
      </c>
      <c r="H674" s="2">
        <v>14737.45</v>
      </c>
      <c r="I674" s="2">
        <v>13124.55</v>
      </c>
      <c r="J674" s="2">
        <v>1612.9</v>
      </c>
      <c r="K674" s="3">
        <v>45634</v>
      </c>
      <c r="L674" s="3">
        <v>45641</v>
      </c>
      <c r="M674" s="2" t="s">
        <v>58</v>
      </c>
      <c r="N674" s="2">
        <v>3</v>
      </c>
      <c r="O674" s="2" t="s">
        <v>246</v>
      </c>
      <c r="P674" s="25">
        <v>6.2</v>
      </c>
      <c r="Q674" t="str">
        <f t="shared" si="91"/>
        <v>0673</v>
      </c>
      <c r="R674" t="str">
        <f>IF('RETAIL SALES DATA.'!H674&gt;AVERAGE('RETAIL SALES DATA.'!H674:H1673),"HIGHEST VALUE","LOWEST VALUE")</f>
        <v>LOWEST VALUE</v>
      </c>
      <c r="S674" t="str">
        <f t="shared" si="92"/>
        <v>Profit</v>
      </c>
      <c r="T674" t="str">
        <f t="shared" si="93"/>
        <v>Meghan Rogers</v>
      </c>
      <c r="U674" t="str">
        <f t="shared" si="94"/>
        <v>Keyboard</v>
      </c>
      <c r="V674">
        <f t="shared" si="95"/>
        <v>2024</v>
      </c>
      <c r="W674">
        <f t="shared" si="96"/>
        <v>12</v>
      </c>
      <c r="X674">
        <f t="shared" si="97"/>
        <v>8</v>
      </c>
      <c r="Y674" t="str">
        <f t="shared" si="98"/>
        <v>Dec</v>
      </c>
      <c r="Z674">
        <f t="shared" si="99"/>
        <v>7</v>
      </c>
    </row>
    <row r="675" spans="1:26" ht="15.75" customHeight="1" x14ac:dyDescent="0.3">
      <c r="A675" s="2" t="s">
        <v>1619</v>
      </c>
      <c r="B675" s="2" t="s">
        <v>1620</v>
      </c>
      <c r="C675" s="2" t="s">
        <v>219</v>
      </c>
      <c r="D675" s="2" t="s">
        <v>43</v>
      </c>
      <c r="E675" s="2" t="s">
        <v>44</v>
      </c>
      <c r="F675" s="2">
        <v>14</v>
      </c>
      <c r="G675" s="2">
        <v>4927.67</v>
      </c>
      <c r="H675" s="2">
        <v>68987.38</v>
      </c>
      <c r="I675" s="2">
        <v>34620.76</v>
      </c>
      <c r="J675" s="2">
        <v>34366.620000000003</v>
      </c>
      <c r="K675" s="3">
        <v>45547</v>
      </c>
      <c r="L675" s="3">
        <v>45550</v>
      </c>
      <c r="M675" s="2" t="s">
        <v>38</v>
      </c>
      <c r="N675" s="2">
        <v>4</v>
      </c>
      <c r="O675" s="2" t="s">
        <v>220</v>
      </c>
      <c r="P675" s="25">
        <v>9.4</v>
      </c>
      <c r="Q675" t="str">
        <f t="shared" si="91"/>
        <v>0674</v>
      </c>
      <c r="R675" t="str">
        <f>IF('RETAIL SALES DATA.'!H675&gt;AVERAGE('RETAIL SALES DATA.'!H675:H1674),"HIGHEST VALUE","LOWEST VALUE")</f>
        <v>HIGHEST VALUE</v>
      </c>
      <c r="S675" t="str">
        <f t="shared" si="92"/>
        <v>Profit</v>
      </c>
      <c r="T675" t="str">
        <f t="shared" si="93"/>
        <v>Katherine Berger</v>
      </c>
      <c r="U675" t="str">
        <f t="shared" si="94"/>
        <v>Smartphone</v>
      </c>
      <c r="V675">
        <f t="shared" si="95"/>
        <v>2024</v>
      </c>
      <c r="W675">
        <f t="shared" si="96"/>
        <v>9</v>
      </c>
      <c r="X675">
        <f t="shared" si="97"/>
        <v>12</v>
      </c>
      <c r="Y675" t="str">
        <f t="shared" si="98"/>
        <v>Sep</v>
      </c>
      <c r="Z675">
        <f t="shared" si="99"/>
        <v>3</v>
      </c>
    </row>
    <row r="676" spans="1:26" ht="15.75" customHeight="1" x14ac:dyDescent="0.3">
      <c r="A676" s="2" t="s">
        <v>1621</v>
      </c>
      <c r="B676" s="2" t="s">
        <v>1622</v>
      </c>
      <c r="C676" s="2" t="s">
        <v>30</v>
      </c>
      <c r="D676" s="2" t="s">
        <v>31</v>
      </c>
      <c r="E676" s="2" t="s">
        <v>20</v>
      </c>
      <c r="F676" s="2">
        <v>15</v>
      </c>
      <c r="G676" s="2">
        <v>213.05</v>
      </c>
      <c r="H676" s="2">
        <v>3195.75</v>
      </c>
      <c r="I676" s="2">
        <v>1921.61</v>
      </c>
      <c r="J676" s="2">
        <v>1274.1400000000001</v>
      </c>
      <c r="K676" s="3">
        <v>45788</v>
      </c>
      <c r="L676" s="3">
        <v>45798</v>
      </c>
      <c r="M676" s="2" t="s">
        <v>69</v>
      </c>
      <c r="N676" s="2">
        <v>3</v>
      </c>
      <c r="O676" s="2" t="s">
        <v>620</v>
      </c>
      <c r="P676" s="25">
        <v>7.9</v>
      </c>
      <c r="Q676" t="str">
        <f t="shared" si="91"/>
        <v>0675</v>
      </c>
      <c r="R676" t="str">
        <f>IF('RETAIL SALES DATA.'!H676&gt;AVERAGE('RETAIL SALES DATA.'!H676:H1675),"HIGHEST VALUE","LOWEST VALUE")</f>
        <v>LOWEST VALUE</v>
      </c>
      <c r="S676" t="str">
        <f t="shared" si="92"/>
        <v>Profit</v>
      </c>
      <c r="T676" t="str">
        <f t="shared" si="93"/>
        <v>Tyler Griffith</v>
      </c>
      <c r="U676" t="str">
        <f t="shared" si="94"/>
        <v>Desk</v>
      </c>
      <c r="V676">
        <f t="shared" si="95"/>
        <v>2025</v>
      </c>
      <c r="W676">
        <f t="shared" si="96"/>
        <v>5</v>
      </c>
      <c r="X676">
        <f t="shared" si="97"/>
        <v>11</v>
      </c>
      <c r="Y676" t="str">
        <f t="shared" si="98"/>
        <v>May</v>
      </c>
      <c r="Z676">
        <f t="shared" si="99"/>
        <v>10</v>
      </c>
    </row>
    <row r="677" spans="1:26" ht="15.75" customHeight="1" x14ac:dyDescent="0.3">
      <c r="A677" s="2" t="s">
        <v>1623</v>
      </c>
      <c r="B677" s="2" t="s">
        <v>1624</v>
      </c>
      <c r="C677" s="2" t="s">
        <v>49</v>
      </c>
      <c r="D677" s="2" t="s">
        <v>43</v>
      </c>
      <c r="E677" s="2" t="s">
        <v>25</v>
      </c>
      <c r="F677" s="2">
        <v>9</v>
      </c>
      <c r="G677" s="2">
        <v>3537.52</v>
      </c>
      <c r="H677" s="2">
        <v>31837.68</v>
      </c>
      <c r="I677" s="2">
        <v>20208.38</v>
      </c>
      <c r="J677" s="2">
        <v>11629.3</v>
      </c>
      <c r="K677" s="3">
        <v>45948</v>
      </c>
      <c r="L677" s="3">
        <v>45953</v>
      </c>
      <c r="M677" s="2" t="s">
        <v>21</v>
      </c>
      <c r="N677" s="2">
        <v>4</v>
      </c>
      <c r="O677" s="2" t="s">
        <v>205</v>
      </c>
      <c r="P677" s="25">
        <v>8.5</v>
      </c>
      <c r="Q677" t="str">
        <f t="shared" si="91"/>
        <v>0676</v>
      </c>
      <c r="R677" t="str">
        <f>IF('RETAIL SALES DATA.'!H677&gt;AVERAGE('RETAIL SALES DATA.'!H677:H1676),"HIGHEST VALUE","LOWEST VALUE")</f>
        <v>HIGHEST VALUE</v>
      </c>
      <c r="S677" t="str">
        <f t="shared" si="92"/>
        <v>Profit</v>
      </c>
      <c r="T677" t="str">
        <f t="shared" si="93"/>
        <v>John Rogers</v>
      </c>
      <c r="U677" t="str">
        <f t="shared" si="94"/>
        <v>Mouse</v>
      </c>
      <c r="V677">
        <f t="shared" si="95"/>
        <v>2025</v>
      </c>
      <c r="W677">
        <f t="shared" si="96"/>
        <v>10</v>
      </c>
      <c r="X677">
        <f t="shared" si="97"/>
        <v>18</v>
      </c>
      <c r="Y677" t="str">
        <f t="shared" si="98"/>
        <v>Oct</v>
      </c>
      <c r="Z677">
        <f t="shared" si="99"/>
        <v>5</v>
      </c>
    </row>
    <row r="678" spans="1:26" ht="15.75" customHeight="1" x14ac:dyDescent="0.3">
      <c r="A678" s="2" t="s">
        <v>1625</v>
      </c>
      <c r="B678" s="2" t="s">
        <v>1626</v>
      </c>
      <c r="C678" s="2" t="s">
        <v>168</v>
      </c>
      <c r="D678" s="2" t="s">
        <v>43</v>
      </c>
      <c r="E678" s="2" t="s">
        <v>20</v>
      </c>
      <c r="F678" s="2">
        <v>8</v>
      </c>
      <c r="G678" s="2">
        <v>505.96</v>
      </c>
      <c r="H678" s="2">
        <v>4047.68</v>
      </c>
      <c r="I678" s="2">
        <v>2341.89</v>
      </c>
      <c r="J678" s="2">
        <v>1705.79</v>
      </c>
      <c r="K678" s="3">
        <v>45790</v>
      </c>
      <c r="L678" s="3">
        <v>45794</v>
      </c>
      <c r="M678" s="2" t="s">
        <v>45</v>
      </c>
      <c r="N678" s="2">
        <v>3</v>
      </c>
      <c r="O678" s="2" t="s">
        <v>818</v>
      </c>
      <c r="P678" s="25">
        <v>7.4</v>
      </c>
      <c r="Q678" t="str">
        <f t="shared" si="91"/>
        <v>0677</v>
      </c>
      <c r="R678" t="str">
        <f>IF('RETAIL SALES DATA.'!H678&gt;AVERAGE('RETAIL SALES DATA.'!H678:H1677),"HIGHEST VALUE","LOWEST VALUE")</f>
        <v>LOWEST VALUE</v>
      </c>
      <c r="S678" t="str">
        <f t="shared" si="92"/>
        <v>Profit</v>
      </c>
      <c r="T678" t="str">
        <f t="shared" si="93"/>
        <v>Jennifer Becker</v>
      </c>
      <c r="U678" t="str">
        <f t="shared" si="94"/>
        <v>Keyboard</v>
      </c>
      <c r="V678">
        <f t="shared" si="95"/>
        <v>2025</v>
      </c>
      <c r="W678">
        <f t="shared" si="96"/>
        <v>5</v>
      </c>
      <c r="X678">
        <f t="shared" si="97"/>
        <v>13</v>
      </c>
      <c r="Y678" t="str">
        <f t="shared" si="98"/>
        <v>May</v>
      </c>
      <c r="Z678">
        <f t="shared" si="99"/>
        <v>4</v>
      </c>
    </row>
    <row r="679" spans="1:26" ht="15.75" customHeight="1" x14ac:dyDescent="0.3">
      <c r="A679" s="2" t="s">
        <v>1627</v>
      </c>
      <c r="B679" s="2" t="s">
        <v>1628</v>
      </c>
      <c r="C679" s="2" t="s">
        <v>144</v>
      </c>
      <c r="D679" s="2" t="s">
        <v>19</v>
      </c>
      <c r="E679" s="2" t="s">
        <v>44</v>
      </c>
      <c r="F679" s="2">
        <v>10</v>
      </c>
      <c r="G679" s="2">
        <v>2258.54</v>
      </c>
      <c r="H679" s="2">
        <v>22585.4</v>
      </c>
      <c r="I679" s="2">
        <v>14570.55</v>
      </c>
      <c r="J679" s="2">
        <v>8014.85</v>
      </c>
      <c r="K679" s="3">
        <v>45718</v>
      </c>
      <c r="L679" s="3">
        <v>45721</v>
      </c>
      <c r="M679" s="2" t="s">
        <v>38</v>
      </c>
      <c r="N679" s="2">
        <v>3</v>
      </c>
      <c r="O679" s="2" t="s">
        <v>998</v>
      </c>
      <c r="P679" s="25">
        <v>9.8000000000000007</v>
      </c>
      <c r="Q679" t="str">
        <f t="shared" si="91"/>
        <v>0678</v>
      </c>
      <c r="R679" t="str">
        <f>IF('RETAIL SALES DATA.'!H679&gt;AVERAGE('RETAIL SALES DATA.'!H679:H1678),"HIGHEST VALUE","LOWEST VALUE")</f>
        <v>LOWEST VALUE</v>
      </c>
      <c r="S679" t="str">
        <f t="shared" si="92"/>
        <v>Profit</v>
      </c>
      <c r="T679" t="str">
        <f t="shared" si="93"/>
        <v>Anthony Clarke</v>
      </c>
      <c r="U679" t="str">
        <f t="shared" si="94"/>
        <v>File</v>
      </c>
      <c r="V679">
        <f t="shared" si="95"/>
        <v>2025</v>
      </c>
      <c r="W679">
        <f t="shared" si="96"/>
        <v>3</v>
      </c>
      <c r="X679">
        <f t="shared" si="97"/>
        <v>2</v>
      </c>
      <c r="Y679" t="str">
        <f t="shared" si="98"/>
        <v>Mar</v>
      </c>
      <c r="Z679">
        <f t="shared" si="99"/>
        <v>3</v>
      </c>
    </row>
    <row r="680" spans="1:26" ht="15.75" customHeight="1" x14ac:dyDescent="0.3">
      <c r="A680" s="2" t="s">
        <v>1629</v>
      </c>
      <c r="B680" s="2" t="s">
        <v>1630</v>
      </c>
      <c r="C680" s="2" t="s">
        <v>95</v>
      </c>
      <c r="D680" s="2" t="s">
        <v>19</v>
      </c>
      <c r="E680" s="2" t="s">
        <v>25</v>
      </c>
      <c r="F680" s="2">
        <v>20</v>
      </c>
      <c r="G680" s="2">
        <v>1211.0999999999999</v>
      </c>
      <c r="H680" s="2">
        <v>24222</v>
      </c>
      <c r="I680" s="2">
        <v>20145.59</v>
      </c>
      <c r="J680" s="2">
        <v>4076.41</v>
      </c>
      <c r="K680" s="3">
        <v>46077</v>
      </c>
      <c r="L680" s="3">
        <v>46081</v>
      </c>
      <c r="M680" s="2" t="s">
        <v>33</v>
      </c>
      <c r="N680" s="2">
        <v>4</v>
      </c>
      <c r="O680" s="2" t="s">
        <v>1035</v>
      </c>
      <c r="P680" s="25">
        <v>8.6999999999999993</v>
      </c>
      <c r="Q680" t="str">
        <f t="shared" si="91"/>
        <v>0679</v>
      </c>
      <c r="R680" t="str">
        <f>IF('RETAIL SALES DATA.'!H680&gt;AVERAGE('RETAIL SALES DATA.'!H680:H1679),"HIGHEST VALUE","LOWEST VALUE")</f>
        <v>LOWEST VALUE</v>
      </c>
      <c r="S680" t="str">
        <f t="shared" si="92"/>
        <v>Profit</v>
      </c>
      <c r="T680" t="str">
        <f t="shared" si="93"/>
        <v>Randall Wall</v>
      </c>
      <c r="U680" t="str">
        <f t="shared" si="94"/>
        <v>Printer</v>
      </c>
      <c r="V680">
        <f t="shared" si="95"/>
        <v>2026</v>
      </c>
      <c r="W680">
        <f t="shared" si="96"/>
        <v>2</v>
      </c>
      <c r="X680">
        <f t="shared" si="97"/>
        <v>24</v>
      </c>
      <c r="Y680" t="str">
        <f t="shared" si="98"/>
        <v>Feb</v>
      </c>
      <c r="Z680">
        <f t="shared" si="99"/>
        <v>4</v>
      </c>
    </row>
    <row r="681" spans="1:26" ht="15.75" customHeight="1" x14ac:dyDescent="0.3">
      <c r="A681" s="2" t="s">
        <v>1631</v>
      </c>
      <c r="B681" s="2" t="s">
        <v>1632</v>
      </c>
      <c r="C681" s="2" t="s">
        <v>72</v>
      </c>
      <c r="D681" s="2" t="s">
        <v>31</v>
      </c>
      <c r="E681" s="2" t="s">
        <v>20</v>
      </c>
      <c r="F681" s="2">
        <v>14</v>
      </c>
      <c r="G681" s="2">
        <v>1690.98</v>
      </c>
      <c r="H681" s="2">
        <v>23673.72</v>
      </c>
      <c r="I681" s="2">
        <v>14197.97</v>
      </c>
      <c r="J681" s="2">
        <v>9475.75</v>
      </c>
      <c r="K681" s="3">
        <v>45729</v>
      </c>
      <c r="L681" s="3">
        <v>45734</v>
      </c>
      <c r="M681" s="2" t="s">
        <v>50</v>
      </c>
      <c r="N681" s="2">
        <v>5</v>
      </c>
      <c r="O681" s="2" t="s">
        <v>918</v>
      </c>
      <c r="P681" s="25">
        <v>8.4</v>
      </c>
      <c r="Q681" t="str">
        <f t="shared" si="91"/>
        <v>0680</v>
      </c>
      <c r="R681" t="str">
        <f>IF('RETAIL SALES DATA.'!H681&gt;AVERAGE('RETAIL SALES DATA.'!H681:H1680),"HIGHEST VALUE","LOWEST VALUE")</f>
        <v>LOWEST VALUE</v>
      </c>
      <c r="S681" t="str">
        <f t="shared" si="92"/>
        <v>Profit</v>
      </c>
      <c r="T681" t="str">
        <f t="shared" si="93"/>
        <v>Jonathan Jordan</v>
      </c>
      <c r="U681" t="str">
        <f t="shared" si="94"/>
        <v>Chair</v>
      </c>
      <c r="V681">
        <f t="shared" si="95"/>
        <v>2025</v>
      </c>
      <c r="W681">
        <f t="shared" si="96"/>
        <v>3</v>
      </c>
      <c r="X681">
        <f t="shared" si="97"/>
        <v>13</v>
      </c>
      <c r="Y681" t="str">
        <f t="shared" si="98"/>
        <v>Mar</v>
      </c>
      <c r="Z681">
        <f t="shared" si="99"/>
        <v>5</v>
      </c>
    </row>
    <row r="682" spans="1:26" ht="15.75" customHeight="1" x14ac:dyDescent="0.3">
      <c r="A682" s="2" t="s">
        <v>1633</v>
      </c>
      <c r="B682" s="2" t="s">
        <v>1634</v>
      </c>
      <c r="C682" s="2" t="s">
        <v>219</v>
      </c>
      <c r="D682" s="2" t="s">
        <v>43</v>
      </c>
      <c r="E682" s="2" t="s">
        <v>32</v>
      </c>
      <c r="F682" s="2">
        <v>20</v>
      </c>
      <c r="G682" s="2">
        <v>3230.61</v>
      </c>
      <c r="H682" s="2">
        <v>64612.2</v>
      </c>
      <c r="I682" s="2">
        <v>39750.86</v>
      </c>
      <c r="J682" s="2">
        <v>24861.34</v>
      </c>
      <c r="K682" s="3">
        <v>46065</v>
      </c>
      <c r="L682" s="3">
        <v>46068</v>
      </c>
      <c r="M682" s="2" t="s">
        <v>33</v>
      </c>
      <c r="N682" s="2">
        <v>5</v>
      </c>
      <c r="O682" s="2" t="s">
        <v>1268</v>
      </c>
      <c r="P682" s="25">
        <v>6</v>
      </c>
      <c r="Q682" t="str">
        <f t="shared" si="91"/>
        <v>0681</v>
      </c>
      <c r="R682" t="str">
        <f>IF('RETAIL SALES DATA.'!H682&gt;AVERAGE('RETAIL SALES DATA.'!H682:H1681),"HIGHEST VALUE","LOWEST VALUE")</f>
        <v>HIGHEST VALUE</v>
      </c>
      <c r="S682" t="str">
        <f t="shared" si="92"/>
        <v>Profit</v>
      </c>
      <c r="T682" t="str">
        <f t="shared" si="93"/>
        <v>Jonathon Wall</v>
      </c>
      <c r="U682" t="str">
        <f t="shared" si="94"/>
        <v>Smartphone</v>
      </c>
      <c r="V682">
        <f t="shared" si="95"/>
        <v>2026</v>
      </c>
      <c r="W682">
        <f t="shared" si="96"/>
        <v>2</v>
      </c>
      <c r="X682">
        <f t="shared" si="97"/>
        <v>12</v>
      </c>
      <c r="Y682" t="str">
        <f t="shared" si="98"/>
        <v>Feb</v>
      </c>
      <c r="Z682">
        <f t="shared" si="99"/>
        <v>3</v>
      </c>
    </row>
    <row r="683" spans="1:26" ht="15.75" customHeight="1" x14ac:dyDescent="0.3">
      <c r="A683" s="2" t="s">
        <v>1635</v>
      </c>
      <c r="B683" s="2" t="s">
        <v>1636</v>
      </c>
      <c r="C683" s="2" t="s">
        <v>57</v>
      </c>
      <c r="D683" s="2" t="s">
        <v>19</v>
      </c>
      <c r="E683" s="2" t="s">
        <v>25</v>
      </c>
      <c r="F683" s="2">
        <v>2</v>
      </c>
      <c r="G683" s="2">
        <v>2107.15</v>
      </c>
      <c r="H683" s="2">
        <v>4214.3</v>
      </c>
      <c r="I683" s="2">
        <v>2305.87</v>
      </c>
      <c r="J683" s="2">
        <v>1908.43</v>
      </c>
      <c r="K683" s="3">
        <v>45897</v>
      </c>
      <c r="L683" s="3">
        <v>45903</v>
      </c>
      <c r="M683" s="2" t="s">
        <v>38</v>
      </c>
      <c r="N683" s="2">
        <v>4</v>
      </c>
      <c r="O683" s="2" t="s">
        <v>196</v>
      </c>
      <c r="P683" s="25">
        <v>7.2</v>
      </c>
      <c r="Q683" t="str">
        <f t="shared" si="91"/>
        <v>0682</v>
      </c>
      <c r="R683" t="str">
        <f>IF('RETAIL SALES DATA.'!H683&gt;AVERAGE('RETAIL SALES DATA.'!H683:H1682),"HIGHEST VALUE","LOWEST VALUE")</f>
        <v>LOWEST VALUE</v>
      </c>
      <c r="S683" t="str">
        <f t="shared" si="92"/>
        <v>Profit</v>
      </c>
      <c r="T683" t="str">
        <f t="shared" si="93"/>
        <v>Brittany Ramirez</v>
      </c>
      <c r="U683" t="str">
        <f t="shared" si="94"/>
        <v>Notebook</v>
      </c>
      <c r="V683">
        <f t="shared" si="95"/>
        <v>2025</v>
      </c>
      <c r="W683">
        <f t="shared" si="96"/>
        <v>9</v>
      </c>
      <c r="X683">
        <f t="shared" si="97"/>
        <v>28</v>
      </c>
      <c r="Y683" t="str">
        <f t="shared" si="98"/>
        <v>Aug</v>
      </c>
      <c r="Z683">
        <f t="shared" si="99"/>
        <v>6</v>
      </c>
    </row>
    <row r="684" spans="1:26" ht="15.75" customHeight="1" x14ac:dyDescent="0.3">
      <c r="A684" s="2" t="s">
        <v>1637</v>
      </c>
      <c r="B684" s="2" t="s">
        <v>1638</v>
      </c>
      <c r="C684" s="2" t="s">
        <v>168</v>
      </c>
      <c r="D684" s="2" t="s">
        <v>43</v>
      </c>
      <c r="E684" s="2" t="s">
        <v>25</v>
      </c>
      <c r="F684" s="2">
        <v>13</v>
      </c>
      <c r="G684" s="2">
        <v>4446.83</v>
      </c>
      <c r="H684" s="2">
        <v>57808.79</v>
      </c>
      <c r="I684" s="2">
        <v>51616.38</v>
      </c>
      <c r="J684" s="2">
        <v>6192.41</v>
      </c>
      <c r="K684" s="3">
        <v>45616</v>
      </c>
      <c r="L684" s="3">
        <v>45620</v>
      </c>
      <c r="M684" s="2" t="s">
        <v>181</v>
      </c>
      <c r="N684" s="2">
        <v>4</v>
      </c>
      <c r="O684" s="2" t="s">
        <v>496</v>
      </c>
      <c r="P684" s="25">
        <v>9.5</v>
      </c>
      <c r="Q684" t="str">
        <f t="shared" si="91"/>
        <v>0683</v>
      </c>
      <c r="R684" t="str">
        <f>IF('RETAIL SALES DATA.'!H684&gt;AVERAGE('RETAIL SALES DATA.'!H684:H1683),"HIGHEST VALUE","LOWEST VALUE")</f>
        <v>HIGHEST VALUE</v>
      </c>
      <c r="S684" t="str">
        <f t="shared" si="92"/>
        <v>Profit</v>
      </c>
      <c r="T684" t="str">
        <f t="shared" si="93"/>
        <v>Frederick Mullins</v>
      </c>
      <c r="U684" t="str">
        <f t="shared" si="94"/>
        <v>Keyboard</v>
      </c>
      <c r="V684">
        <f t="shared" si="95"/>
        <v>2024</v>
      </c>
      <c r="W684">
        <f t="shared" si="96"/>
        <v>11</v>
      </c>
      <c r="X684">
        <f t="shared" si="97"/>
        <v>20</v>
      </c>
      <c r="Y684" t="str">
        <f t="shared" si="98"/>
        <v>Nov</v>
      </c>
      <c r="Z684">
        <f t="shared" si="99"/>
        <v>4</v>
      </c>
    </row>
    <row r="685" spans="1:26" ht="15.75" customHeight="1" x14ac:dyDescent="0.3">
      <c r="A685" s="2" t="s">
        <v>1639</v>
      </c>
      <c r="B685" s="2" t="s">
        <v>1640</v>
      </c>
      <c r="C685" s="2" t="s">
        <v>37</v>
      </c>
      <c r="D685" s="2" t="s">
        <v>19</v>
      </c>
      <c r="E685" s="2" t="s">
        <v>25</v>
      </c>
      <c r="F685" s="2">
        <v>11</v>
      </c>
      <c r="G685" s="2">
        <v>4497.1499999999996</v>
      </c>
      <c r="H685" s="2">
        <v>49468.65</v>
      </c>
      <c r="I685" s="2">
        <v>43472.98</v>
      </c>
      <c r="J685" s="2">
        <v>5995.67</v>
      </c>
      <c r="K685" s="3">
        <v>45821</v>
      </c>
      <c r="L685" s="3">
        <v>45823</v>
      </c>
      <c r="M685" s="2" t="s">
        <v>21</v>
      </c>
      <c r="N685" s="2">
        <v>5</v>
      </c>
      <c r="O685" s="2" t="s">
        <v>452</v>
      </c>
      <c r="P685" s="25">
        <v>9.9</v>
      </c>
      <c r="Q685" t="str">
        <f t="shared" si="91"/>
        <v>0684</v>
      </c>
      <c r="R685" t="str">
        <f>IF('RETAIL SALES DATA.'!H685&gt;AVERAGE('RETAIL SALES DATA.'!H685:H1684),"HIGHEST VALUE","LOWEST VALUE")</f>
        <v>HIGHEST VALUE</v>
      </c>
      <c r="S685" t="str">
        <f t="shared" si="92"/>
        <v>Profit</v>
      </c>
      <c r="T685" t="str">
        <f t="shared" si="93"/>
        <v>Dillon Johnson</v>
      </c>
      <c r="U685" t="str">
        <f t="shared" si="94"/>
        <v>Marker</v>
      </c>
      <c r="V685">
        <f t="shared" si="95"/>
        <v>2025</v>
      </c>
      <c r="W685">
        <f t="shared" si="96"/>
        <v>6</v>
      </c>
      <c r="X685">
        <f t="shared" si="97"/>
        <v>13</v>
      </c>
      <c r="Y685" t="str">
        <f t="shared" si="98"/>
        <v>Jun</v>
      </c>
      <c r="Z685">
        <f t="shared" si="99"/>
        <v>2</v>
      </c>
    </row>
    <row r="686" spans="1:26" ht="15.75" customHeight="1" x14ac:dyDescent="0.3">
      <c r="A686" s="2" t="s">
        <v>1641</v>
      </c>
      <c r="B686" s="2" t="s">
        <v>1642</v>
      </c>
      <c r="C686" s="2" t="s">
        <v>168</v>
      </c>
      <c r="D686" s="2" t="s">
        <v>43</v>
      </c>
      <c r="E686" s="2" t="s">
        <v>32</v>
      </c>
      <c r="F686" s="2">
        <v>3</v>
      </c>
      <c r="G686" s="2">
        <v>4876.67</v>
      </c>
      <c r="H686" s="2">
        <v>14630.01</v>
      </c>
      <c r="I686" s="2">
        <v>8166.18</v>
      </c>
      <c r="J686" s="2">
        <v>6463.83</v>
      </c>
      <c r="K686" s="3">
        <v>46106</v>
      </c>
      <c r="L686" s="3">
        <v>46109</v>
      </c>
      <c r="M686" s="2" t="s">
        <v>50</v>
      </c>
      <c r="N686" s="2">
        <v>5</v>
      </c>
      <c r="O686" s="2" t="s">
        <v>99</v>
      </c>
      <c r="P686" s="25">
        <v>7.7</v>
      </c>
      <c r="Q686" t="str">
        <f t="shared" si="91"/>
        <v>0685</v>
      </c>
      <c r="R686" t="str">
        <f>IF('RETAIL SALES DATA.'!H686&gt;AVERAGE('RETAIL SALES DATA.'!H686:H1685),"HIGHEST VALUE","LOWEST VALUE")</f>
        <v>LOWEST VALUE</v>
      </c>
      <c r="S686" t="str">
        <f t="shared" si="92"/>
        <v>Profit</v>
      </c>
      <c r="T686" t="str">
        <f t="shared" si="93"/>
        <v>Nicolas Velez</v>
      </c>
      <c r="U686" t="str">
        <f t="shared" si="94"/>
        <v>Keyboard</v>
      </c>
      <c r="V686">
        <f t="shared" si="95"/>
        <v>2026</v>
      </c>
      <c r="W686">
        <f t="shared" si="96"/>
        <v>3</v>
      </c>
      <c r="X686">
        <f t="shared" si="97"/>
        <v>25</v>
      </c>
      <c r="Y686" t="str">
        <f t="shared" si="98"/>
        <v>Mar</v>
      </c>
      <c r="Z686">
        <f t="shared" si="99"/>
        <v>3</v>
      </c>
    </row>
    <row r="687" spans="1:26" ht="15.75" customHeight="1" x14ac:dyDescent="0.3">
      <c r="A687" s="2" t="s">
        <v>1643</v>
      </c>
      <c r="B687" s="2" t="s">
        <v>1644</v>
      </c>
      <c r="C687" s="2" t="s">
        <v>139</v>
      </c>
      <c r="D687" s="2" t="s">
        <v>31</v>
      </c>
      <c r="E687" s="2" t="s">
        <v>20</v>
      </c>
      <c r="F687" s="2">
        <v>9</v>
      </c>
      <c r="G687" s="2">
        <v>94.94</v>
      </c>
      <c r="H687" s="2">
        <v>854.46</v>
      </c>
      <c r="I687" s="2">
        <v>512.67999999999995</v>
      </c>
      <c r="J687" s="2">
        <v>341.78</v>
      </c>
      <c r="K687" s="3">
        <v>45531</v>
      </c>
      <c r="L687" s="3">
        <v>45540</v>
      </c>
      <c r="M687" s="2" t="s">
        <v>21</v>
      </c>
      <c r="N687" s="2">
        <v>5</v>
      </c>
      <c r="O687" s="2" t="s">
        <v>1645</v>
      </c>
      <c r="P687" s="25">
        <v>7.2</v>
      </c>
      <c r="Q687" t="str">
        <f t="shared" si="91"/>
        <v>0686</v>
      </c>
      <c r="R687" t="str">
        <f>IF('RETAIL SALES DATA.'!H687&gt;AVERAGE('RETAIL SALES DATA.'!H687:H1686),"HIGHEST VALUE","LOWEST VALUE")</f>
        <v>LOWEST VALUE</v>
      </c>
      <c r="S687" t="str">
        <f t="shared" si="92"/>
        <v>Profit</v>
      </c>
      <c r="T687" t="str">
        <f t="shared" si="93"/>
        <v>Michael Watson</v>
      </c>
      <c r="U687" t="str">
        <f t="shared" si="94"/>
        <v>Sofa</v>
      </c>
      <c r="V687">
        <f t="shared" si="95"/>
        <v>2024</v>
      </c>
      <c r="W687">
        <f t="shared" si="96"/>
        <v>9</v>
      </c>
      <c r="X687">
        <f t="shared" si="97"/>
        <v>27</v>
      </c>
      <c r="Y687" t="str">
        <f t="shared" si="98"/>
        <v>Aug</v>
      </c>
      <c r="Z687">
        <f t="shared" si="99"/>
        <v>9</v>
      </c>
    </row>
    <row r="688" spans="1:26" ht="15.75" customHeight="1" x14ac:dyDescent="0.3">
      <c r="A688" s="2" t="s">
        <v>1646</v>
      </c>
      <c r="B688" s="2" t="s">
        <v>1647</v>
      </c>
      <c r="C688" s="2" t="s">
        <v>95</v>
      </c>
      <c r="D688" s="2" t="s">
        <v>19</v>
      </c>
      <c r="E688" s="2" t="s">
        <v>44</v>
      </c>
      <c r="F688" s="2">
        <v>6</v>
      </c>
      <c r="G688" s="2">
        <v>4476.4799999999996</v>
      </c>
      <c r="H688" s="2">
        <v>26858.880000000001</v>
      </c>
      <c r="I688" s="2">
        <v>22384.720000000001</v>
      </c>
      <c r="J688" s="2">
        <v>4474.16</v>
      </c>
      <c r="K688" s="3">
        <v>45499</v>
      </c>
      <c r="L688" s="3">
        <v>45501</v>
      </c>
      <c r="M688" s="2" t="s">
        <v>50</v>
      </c>
      <c r="N688" s="2">
        <v>5</v>
      </c>
      <c r="O688" s="2" t="s">
        <v>313</v>
      </c>
      <c r="P688" s="25">
        <v>7.4</v>
      </c>
      <c r="Q688" t="str">
        <f t="shared" si="91"/>
        <v>0687</v>
      </c>
      <c r="R688" t="str">
        <f>IF('RETAIL SALES DATA.'!H688&gt;AVERAGE('RETAIL SALES DATA.'!H688:H1687),"HIGHEST VALUE","LOWEST VALUE")</f>
        <v>HIGHEST VALUE</v>
      </c>
      <c r="S688" t="str">
        <f t="shared" si="92"/>
        <v>Profit</v>
      </c>
      <c r="T688" t="str">
        <f t="shared" si="93"/>
        <v>Laura Barnett</v>
      </c>
      <c r="U688" t="str">
        <f t="shared" si="94"/>
        <v>Printer</v>
      </c>
      <c r="V688">
        <f t="shared" si="95"/>
        <v>2024</v>
      </c>
      <c r="W688">
        <f t="shared" si="96"/>
        <v>7</v>
      </c>
      <c r="X688">
        <f t="shared" si="97"/>
        <v>26</v>
      </c>
      <c r="Y688" t="str">
        <f t="shared" si="98"/>
        <v>Jul</v>
      </c>
      <c r="Z688">
        <f t="shared" si="99"/>
        <v>2</v>
      </c>
    </row>
    <row r="689" spans="1:26" ht="15.75" customHeight="1" x14ac:dyDescent="0.3">
      <c r="A689" s="2" t="s">
        <v>1648</v>
      </c>
      <c r="B689" s="2" t="s">
        <v>1649</v>
      </c>
      <c r="C689" s="2" t="s">
        <v>168</v>
      </c>
      <c r="D689" s="2" t="s">
        <v>43</v>
      </c>
      <c r="E689" s="2" t="s">
        <v>44</v>
      </c>
      <c r="F689" s="2">
        <v>16</v>
      </c>
      <c r="G689" s="2">
        <v>3224.87</v>
      </c>
      <c r="H689" s="2">
        <v>51597.919999999998</v>
      </c>
      <c r="I689" s="2">
        <v>42150.86</v>
      </c>
      <c r="J689" s="2">
        <v>9447.06</v>
      </c>
      <c r="K689" s="3">
        <v>45955</v>
      </c>
      <c r="L689" s="3">
        <v>45963</v>
      </c>
      <c r="M689" s="2" t="s">
        <v>69</v>
      </c>
      <c r="N689" s="2">
        <v>4</v>
      </c>
      <c r="O689" s="2" t="s">
        <v>512</v>
      </c>
      <c r="P689" s="25">
        <v>8.1999999999999993</v>
      </c>
      <c r="Q689" t="str">
        <f t="shared" si="91"/>
        <v>0688</v>
      </c>
      <c r="R689" t="str">
        <f>IF('RETAIL SALES DATA.'!H689&gt;AVERAGE('RETAIL SALES DATA.'!H689:H1688),"HIGHEST VALUE","LOWEST VALUE")</f>
        <v>HIGHEST VALUE</v>
      </c>
      <c r="S689" t="str">
        <f t="shared" si="92"/>
        <v>Profit</v>
      </c>
      <c r="T689" t="str">
        <f t="shared" si="93"/>
        <v>Brenda Taylor</v>
      </c>
      <c r="U689" t="str">
        <f t="shared" si="94"/>
        <v>Keyboard</v>
      </c>
      <c r="V689">
        <f t="shared" si="95"/>
        <v>2025</v>
      </c>
      <c r="W689">
        <f t="shared" si="96"/>
        <v>11</v>
      </c>
      <c r="X689">
        <f t="shared" si="97"/>
        <v>25</v>
      </c>
      <c r="Y689" t="str">
        <f t="shared" si="98"/>
        <v>Oct</v>
      </c>
      <c r="Z689">
        <f t="shared" si="99"/>
        <v>8</v>
      </c>
    </row>
    <row r="690" spans="1:26" ht="15.75" customHeight="1" x14ac:dyDescent="0.3">
      <c r="A690" s="2" t="s">
        <v>1650</v>
      </c>
      <c r="B690" s="2" t="s">
        <v>1651</v>
      </c>
      <c r="C690" s="2" t="s">
        <v>57</v>
      </c>
      <c r="D690" s="2" t="s">
        <v>19</v>
      </c>
      <c r="E690" s="2" t="s">
        <v>44</v>
      </c>
      <c r="F690" s="2">
        <v>9</v>
      </c>
      <c r="G690" s="2">
        <v>1590.57</v>
      </c>
      <c r="H690" s="2">
        <v>14315.13</v>
      </c>
      <c r="I690" s="2">
        <v>12010.83</v>
      </c>
      <c r="J690" s="2">
        <v>2304.3000000000002</v>
      </c>
      <c r="K690" s="3">
        <v>46110</v>
      </c>
      <c r="L690" s="3">
        <v>46118</v>
      </c>
      <c r="M690" s="2" t="s">
        <v>181</v>
      </c>
      <c r="N690" s="2">
        <v>4</v>
      </c>
      <c r="O690" s="2" t="s">
        <v>1297</v>
      </c>
      <c r="P690" s="25">
        <v>9.4</v>
      </c>
      <c r="Q690" t="str">
        <f t="shared" si="91"/>
        <v>0689</v>
      </c>
      <c r="R690" t="str">
        <f>IF('RETAIL SALES DATA.'!H690&gt;AVERAGE('RETAIL SALES DATA.'!H690:H1689),"HIGHEST VALUE","LOWEST VALUE")</f>
        <v>LOWEST VALUE</v>
      </c>
      <c r="S690" t="str">
        <f t="shared" si="92"/>
        <v>Profit</v>
      </c>
      <c r="T690" t="str">
        <f t="shared" si="93"/>
        <v>Stacy Hanson</v>
      </c>
      <c r="U690" t="str">
        <f t="shared" si="94"/>
        <v>Notebook</v>
      </c>
      <c r="V690">
        <f t="shared" si="95"/>
        <v>2026</v>
      </c>
      <c r="W690">
        <f t="shared" si="96"/>
        <v>4</v>
      </c>
      <c r="X690">
        <f t="shared" si="97"/>
        <v>29</v>
      </c>
      <c r="Y690" t="str">
        <f t="shared" si="98"/>
        <v>Mar</v>
      </c>
      <c r="Z690">
        <f t="shared" si="99"/>
        <v>8</v>
      </c>
    </row>
    <row r="691" spans="1:26" ht="15.75" customHeight="1" x14ac:dyDescent="0.3">
      <c r="A691" s="2" t="s">
        <v>1652</v>
      </c>
      <c r="B691" s="2" t="s">
        <v>1653</v>
      </c>
      <c r="C691" s="2" t="s">
        <v>95</v>
      </c>
      <c r="D691" s="2" t="s">
        <v>19</v>
      </c>
      <c r="E691" s="2" t="s">
        <v>32</v>
      </c>
      <c r="F691" s="2">
        <v>20</v>
      </c>
      <c r="G691" s="2">
        <v>617.29999999999995</v>
      </c>
      <c r="H691" s="2">
        <v>12346</v>
      </c>
      <c r="I691" s="2">
        <v>6979.19</v>
      </c>
      <c r="J691" s="2">
        <v>5366.81</v>
      </c>
      <c r="K691" s="3">
        <v>46106</v>
      </c>
      <c r="L691" s="3">
        <v>46111</v>
      </c>
      <c r="M691" s="2" t="s">
        <v>45</v>
      </c>
      <c r="N691" s="2">
        <v>2</v>
      </c>
      <c r="O691" s="2" t="s">
        <v>102</v>
      </c>
      <c r="P691" s="25">
        <v>7.8</v>
      </c>
      <c r="Q691" t="str">
        <f t="shared" si="91"/>
        <v>0690</v>
      </c>
      <c r="R691" t="str">
        <f>IF('RETAIL SALES DATA.'!H691&gt;AVERAGE('RETAIL SALES DATA.'!H691:H1690),"HIGHEST VALUE","LOWEST VALUE")</f>
        <v>LOWEST VALUE</v>
      </c>
      <c r="S691" t="str">
        <f t="shared" si="92"/>
        <v>Profit</v>
      </c>
      <c r="T691" t="str">
        <f t="shared" si="93"/>
        <v>Amanda Perez</v>
      </c>
      <c r="U691" t="str">
        <f t="shared" si="94"/>
        <v>Printer</v>
      </c>
      <c r="V691">
        <f t="shared" si="95"/>
        <v>2026</v>
      </c>
      <c r="W691">
        <f t="shared" si="96"/>
        <v>3</v>
      </c>
      <c r="X691">
        <f t="shared" si="97"/>
        <v>25</v>
      </c>
      <c r="Y691" t="str">
        <f t="shared" si="98"/>
        <v>Mar</v>
      </c>
      <c r="Z691">
        <f t="shared" si="99"/>
        <v>5</v>
      </c>
    </row>
    <row r="692" spans="1:26" ht="15.75" customHeight="1" x14ac:dyDescent="0.3">
      <c r="A692" s="2" t="s">
        <v>1654</v>
      </c>
      <c r="B692" s="2" t="s">
        <v>1655</v>
      </c>
      <c r="C692" s="2" t="s">
        <v>88</v>
      </c>
      <c r="D692" s="2" t="s">
        <v>31</v>
      </c>
      <c r="E692" s="2" t="s">
        <v>44</v>
      </c>
      <c r="F692" s="2">
        <v>6</v>
      </c>
      <c r="G692" s="2">
        <v>2111.0100000000002</v>
      </c>
      <c r="H692" s="2">
        <v>12666.06</v>
      </c>
      <c r="I692" s="2">
        <v>7568.02</v>
      </c>
      <c r="J692" s="2">
        <v>5098.04</v>
      </c>
      <c r="K692" s="3">
        <v>46023</v>
      </c>
      <c r="L692" s="3">
        <v>46033</v>
      </c>
      <c r="M692" s="2" t="s">
        <v>21</v>
      </c>
      <c r="N692" s="2">
        <v>3</v>
      </c>
      <c r="O692" s="2" t="s">
        <v>145</v>
      </c>
      <c r="P692" s="25">
        <v>8.1999999999999993</v>
      </c>
      <c r="Q692" t="str">
        <f t="shared" si="91"/>
        <v>0691</v>
      </c>
      <c r="R692" t="str">
        <f>IF('RETAIL SALES DATA.'!H692&gt;AVERAGE('RETAIL SALES DATA.'!H692:H1691),"HIGHEST VALUE","LOWEST VALUE")</f>
        <v>LOWEST VALUE</v>
      </c>
      <c r="S692" t="str">
        <f t="shared" si="92"/>
        <v>Profit</v>
      </c>
      <c r="T692" t="str">
        <f t="shared" si="93"/>
        <v>Susan Burns</v>
      </c>
      <c r="U692" t="str">
        <f t="shared" si="94"/>
        <v>Cupboard</v>
      </c>
      <c r="V692">
        <f t="shared" si="95"/>
        <v>2026</v>
      </c>
      <c r="W692">
        <f t="shared" si="96"/>
        <v>1</v>
      </c>
      <c r="X692">
        <f t="shared" si="97"/>
        <v>1</v>
      </c>
      <c r="Y692" t="str">
        <f t="shared" si="98"/>
        <v>Jan</v>
      </c>
      <c r="Z692">
        <f t="shared" si="99"/>
        <v>10</v>
      </c>
    </row>
    <row r="693" spans="1:26" ht="15.75" customHeight="1" x14ac:dyDescent="0.3">
      <c r="A693" s="2" t="s">
        <v>1656</v>
      </c>
      <c r="B693" s="2" t="s">
        <v>1657</v>
      </c>
      <c r="C693" s="2" t="s">
        <v>219</v>
      </c>
      <c r="D693" s="2" t="s">
        <v>43</v>
      </c>
      <c r="E693" s="2" t="s">
        <v>25</v>
      </c>
      <c r="F693" s="2">
        <v>15</v>
      </c>
      <c r="G693" s="2">
        <v>1071.02</v>
      </c>
      <c r="H693" s="2">
        <v>16065.3</v>
      </c>
      <c r="I693" s="2">
        <v>13867.83</v>
      </c>
      <c r="J693" s="2">
        <v>2197.4699999999998</v>
      </c>
      <c r="K693" s="3">
        <v>45764</v>
      </c>
      <c r="L693" s="3">
        <v>45768</v>
      </c>
      <c r="M693" s="2" t="s">
        <v>58</v>
      </c>
      <c r="N693" s="2">
        <v>1</v>
      </c>
      <c r="O693" s="2" t="s">
        <v>899</v>
      </c>
      <c r="P693" s="25">
        <v>6.2</v>
      </c>
      <c r="Q693" t="str">
        <f t="shared" si="91"/>
        <v>0692</v>
      </c>
      <c r="R693" t="str">
        <f>IF('RETAIL SALES DATA.'!H693&gt;AVERAGE('RETAIL SALES DATA.'!H693:H1692),"HIGHEST VALUE","LOWEST VALUE")</f>
        <v>LOWEST VALUE</v>
      </c>
      <c r="S693" t="str">
        <f t="shared" si="92"/>
        <v>Profit</v>
      </c>
      <c r="T693" t="str">
        <f t="shared" si="93"/>
        <v>Christy Morse</v>
      </c>
      <c r="U693" t="str">
        <f t="shared" si="94"/>
        <v>Smartphone</v>
      </c>
      <c r="V693">
        <f t="shared" si="95"/>
        <v>2025</v>
      </c>
      <c r="W693">
        <f t="shared" si="96"/>
        <v>4</v>
      </c>
      <c r="X693">
        <f t="shared" si="97"/>
        <v>17</v>
      </c>
      <c r="Y693" t="str">
        <f t="shared" si="98"/>
        <v>Apr</v>
      </c>
      <c r="Z693">
        <f t="shared" si="99"/>
        <v>4</v>
      </c>
    </row>
    <row r="694" spans="1:26" ht="15.75" customHeight="1" x14ac:dyDescent="0.3">
      <c r="A694" s="2" t="s">
        <v>1658</v>
      </c>
      <c r="B694" s="2" t="s">
        <v>1659</v>
      </c>
      <c r="C694" s="2" t="s">
        <v>139</v>
      </c>
      <c r="D694" s="2" t="s">
        <v>31</v>
      </c>
      <c r="E694" s="2" t="s">
        <v>32</v>
      </c>
      <c r="F694" s="2">
        <v>12</v>
      </c>
      <c r="G694" s="2">
        <v>3092.12</v>
      </c>
      <c r="H694" s="2">
        <v>37105.440000000002</v>
      </c>
      <c r="I694" s="2">
        <v>28552.68</v>
      </c>
      <c r="J694" s="2">
        <v>8552.76</v>
      </c>
      <c r="K694" s="3">
        <v>46139</v>
      </c>
      <c r="L694" s="3">
        <v>46141</v>
      </c>
      <c r="M694" s="2" t="s">
        <v>69</v>
      </c>
      <c r="N694" s="2">
        <v>2</v>
      </c>
      <c r="O694" s="2" t="s">
        <v>452</v>
      </c>
      <c r="P694" s="25">
        <v>7.1</v>
      </c>
      <c r="Q694" t="str">
        <f t="shared" si="91"/>
        <v>0693</v>
      </c>
      <c r="R694" t="str">
        <f>IF('RETAIL SALES DATA.'!H694&gt;AVERAGE('RETAIL SALES DATA.'!H694:H1693),"HIGHEST VALUE","LOWEST VALUE")</f>
        <v>HIGHEST VALUE</v>
      </c>
      <c r="S694" t="str">
        <f t="shared" si="92"/>
        <v>Profit</v>
      </c>
      <c r="T694" t="str">
        <f t="shared" si="93"/>
        <v>Richard Hickman</v>
      </c>
      <c r="U694" t="str">
        <f t="shared" si="94"/>
        <v>Sofa</v>
      </c>
      <c r="V694">
        <f t="shared" si="95"/>
        <v>2026</v>
      </c>
      <c r="W694">
        <f t="shared" si="96"/>
        <v>4</v>
      </c>
      <c r="X694">
        <f t="shared" si="97"/>
        <v>27</v>
      </c>
      <c r="Y694" t="str">
        <f t="shared" si="98"/>
        <v>Apr</v>
      </c>
      <c r="Z694">
        <f t="shared" si="99"/>
        <v>2</v>
      </c>
    </row>
    <row r="695" spans="1:26" ht="15.75" customHeight="1" x14ac:dyDescent="0.3">
      <c r="A695" s="2" t="s">
        <v>1660</v>
      </c>
      <c r="B695" s="2" t="s">
        <v>1661</v>
      </c>
      <c r="C695" s="2" t="s">
        <v>144</v>
      </c>
      <c r="D695" s="2" t="s">
        <v>19</v>
      </c>
      <c r="E695" s="2" t="s">
        <v>20</v>
      </c>
      <c r="F695" s="2">
        <v>20</v>
      </c>
      <c r="G695" s="2">
        <v>4823.58</v>
      </c>
      <c r="H695" s="2">
        <v>96471.6</v>
      </c>
      <c r="I695" s="2">
        <v>58982.83</v>
      </c>
      <c r="J695" s="2">
        <v>37488.769999999997</v>
      </c>
      <c r="K695" s="3">
        <v>45714</v>
      </c>
      <c r="L695" s="3">
        <v>45724</v>
      </c>
      <c r="M695" s="2" t="s">
        <v>21</v>
      </c>
      <c r="N695" s="2">
        <v>5</v>
      </c>
      <c r="O695" s="2" t="s">
        <v>604</v>
      </c>
      <c r="P695" s="25">
        <v>6.1</v>
      </c>
      <c r="Q695" t="str">
        <f t="shared" si="91"/>
        <v>0694</v>
      </c>
      <c r="R695" t="str">
        <f>IF('RETAIL SALES DATA.'!H695&gt;AVERAGE('RETAIL SALES DATA.'!H695:H1694),"HIGHEST VALUE","LOWEST VALUE")</f>
        <v>HIGHEST VALUE</v>
      </c>
      <c r="S695" t="str">
        <f t="shared" si="92"/>
        <v>Profit</v>
      </c>
      <c r="T695" t="str">
        <f t="shared" si="93"/>
        <v>Cynthia Rodriguez</v>
      </c>
      <c r="U695" t="str">
        <f t="shared" si="94"/>
        <v>File</v>
      </c>
      <c r="V695">
        <f t="shared" si="95"/>
        <v>2025</v>
      </c>
      <c r="W695">
        <f t="shared" si="96"/>
        <v>3</v>
      </c>
      <c r="X695">
        <f t="shared" si="97"/>
        <v>26</v>
      </c>
      <c r="Y695" t="str">
        <f t="shared" si="98"/>
        <v>Feb</v>
      </c>
      <c r="Z695">
        <f t="shared" si="99"/>
        <v>10</v>
      </c>
    </row>
    <row r="696" spans="1:26" ht="15.75" customHeight="1" x14ac:dyDescent="0.3">
      <c r="A696" s="2" t="s">
        <v>1662</v>
      </c>
      <c r="B696" s="2" t="s">
        <v>1663</v>
      </c>
      <c r="C696" s="2" t="s">
        <v>168</v>
      </c>
      <c r="D696" s="2" t="s">
        <v>43</v>
      </c>
      <c r="E696" s="2" t="s">
        <v>25</v>
      </c>
      <c r="F696" s="2">
        <v>7</v>
      </c>
      <c r="G696" s="2">
        <v>177.16</v>
      </c>
      <c r="H696" s="2">
        <v>1240.1199999999999</v>
      </c>
      <c r="I696" s="2">
        <v>651.82000000000005</v>
      </c>
      <c r="J696" s="2">
        <v>588.29999999999995</v>
      </c>
      <c r="K696" s="3">
        <v>45991</v>
      </c>
      <c r="L696" s="3">
        <v>45993</v>
      </c>
      <c r="M696" s="2" t="s">
        <v>50</v>
      </c>
      <c r="N696" s="2">
        <v>2</v>
      </c>
      <c r="O696" s="2" t="s">
        <v>220</v>
      </c>
      <c r="P696" s="25">
        <v>7.5</v>
      </c>
      <c r="Q696" t="str">
        <f t="shared" si="91"/>
        <v>0695</v>
      </c>
      <c r="R696" t="str">
        <f>IF('RETAIL SALES DATA.'!H696&gt;AVERAGE('RETAIL SALES DATA.'!H696:H1695),"HIGHEST VALUE","LOWEST VALUE")</f>
        <v>LOWEST VALUE</v>
      </c>
      <c r="S696" t="str">
        <f t="shared" si="92"/>
        <v>Profit</v>
      </c>
      <c r="T696" t="str">
        <f t="shared" si="93"/>
        <v>Gabrielle Walker</v>
      </c>
      <c r="U696" t="str">
        <f t="shared" si="94"/>
        <v>Keyboard</v>
      </c>
      <c r="V696">
        <f t="shared" si="95"/>
        <v>2025</v>
      </c>
      <c r="W696">
        <f t="shared" si="96"/>
        <v>12</v>
      </c>
      <c r="X696">
        <f t="shared" si="97"/>
        <v>30</v>
      </c>
      <c r="Y696" t="str">
        <f t="shared" si="98"/>
        <v>Nov</v>
      </c>
      <c r="Z696">
        <f t="shared" si="99"/>
        <v>2</v>
      </c>
    </row>
    <row r="697" spans="1:26" ht="15.75" customHeight="1" x14ac:dyDescent="0.3">
      <c r="A697" s="2" t="s">
        <v>1664</v>
      </c>
      <c r="B697" s="2" t="s">
        <v>1665</v>
      </c>
      <c r="C697" s="2" t="s">
        <v>95</v>
      </c>
      <c r="D697" s="2" t="s">
        <v>19</v>
      </c>
      <c r="E697" s="2" t="s">
        <v>25</v>
      </c>
      <c r="F697" s="2">
        <v>16</v>
      </c>
      <c r="G697" s="2">
        <v>1706.56</v>
      </c>
      <c r="H697" s="2">
        <v>27304.959999999999</v>
      </c>
      <c r="I697" s="2">
        <v>21442.19</v>
      </c>
      <c r="J697" s="2">
        <v>5862.77</v>
      </c>
      <c r="K697" s="3">
        <v>46054</v>
      </c>
      <c r="L697" s="3">
        <v>46056</v>
      </c>
      <c r="M697" s="2" t="s">
        <v>26</v>
      </c>
      <c r="N697" s="2">
        <v>4</v>
      </c>
      <c r="O697" s="2" t="s">
        <v>254</v>
      </c>
      <c r="P697" s="25">
        <v>6.7</v>
      </c>
      <c r="Q697" t="str">
        <f t="shared" si="91"/>
        <v>0696</v>
      </c>
      <c r="R697" t="str">
        <f>IF('RETAIL SALES DATA.'!H697&gt;AVERAGE('RETAIL SALES DATA.'!H697:H1696),"HIGHEST VALUE","LOWEST VALUE")</f>
        <v>HIGHEST VALUE</v>
      </c>
      <c r="S697" t="str">
        <f t="shared" si="92"/>
        <v>Profit</v>
      </c>
      <c r="T697" t="str">
        <f t="shared" si="93"/>
        <v>Donna Howard</v>
      </c>
      <c r="U697" t="str">
        <f t="shared" si="94"/>
        <v>Printer</v>
      </c>
      <c r="V697">
        <f t="shared" si="95"/>
        <v>2026</v>
      </c>
      <c r="W697">
        <f t="shared" si="96"/>
        <v>2</v>
      </c>
      <c r="X697">
        <f t="shared" si="97"/>
        <v>1</v>
      </c>
      <c r="Y697" t="str">
        <f t="shared" si="98"/>
        <v>Feb</v>
      </c>
      <c r="Z697">
        <f t="shared" si="99"/>
        <v>2</v>
      </c>
    </row>
    <row r="698" spans="1:26" ht="15.75" customHeight="1" x14ac:dyDescent="0.3">
      <c r="A698" s="2" t="s">
        <v>1666</v>
      </c>
      <c r="B698" s="2" t="s">
        <v>1667</v>
      </c>
      <c r="C698" s="2" t="s">
        <v>49</v>
      </c>
      <c r="D698" s="2" t="s">
        <v>43</v>
      </c>
      <c r="E698" s="2" t="s">
        <v>25</v>
      </c>
      <c r="F698" s="2">
        <v>15</v>
      </c>
      <c r="G698" s="2">
        <v>3981.96</v>
      </c>
      <c r="H698" s="2">
        <v>59729.4</v>
      </c>
      <c r="I698" s="2">
        <v>34802.69</v>
      </c>
      <c r="J698" s="2">
        <v>24926.71</v>
      </c>
      <c r="K698" s="3">
        <v>45713</v>
      </c>
      <c r="L698" s="3">
        <v>45718</v>
      </c>
      <c r="M698" s="2" t="s">
        <v>50</v>
      </c>
      <c r="N698" s="2">
        <v>5</v>
      </c>
      <c r="O698" s="2" t="s">
        <v>313</v>
      </c>
      <c r="P698" s="25">
        <v>7.9</v>
      </c>
      <c r="Q698" t="str">
        <f t="shared" si="91"/>
        <v>0697</v>
      </c>
      <c r="R698" t="str">
        <f>IF('RETAIL SALES DATA.'!H698&gt;AVERAGE('RETAIL SALES DATA.'!H698:H1697),"HIGHEST VALUE","LOWEST VALUE")</f>
        <v>HIGHEST VALUE</v>
      </c>
      <c r="S698" t="str">
        <f t="shared" si="92"/>
        <v>Profit</v>
      </c>
      <c r="T698" t="str">
        <f t="shared" si="93"/>
        <v>Heather Owens</v>
      </c>
      <c r="U698" t="str">
        <f t="shared" si="94"/>
        <v>Mouse</v>
      </c>
      <c r="V698">
        <f t="shared" si="95"/>
        <v>2025</v>
      </c>
      <c r="W698">
        <f t="shared" si="96"/>
        <v>3</v>
      </c>
      <c r="X698">
        <f t="shared" si="97"/>
        <v>25</v>
      </c>
      <c r="Y698" t="str">
        <f t="shared" si="98"/>
        <v>Feb</v>
      </c>
      <c r="Z698">
        <f t="shared" si="99"/>
        <v>5</v>
      </c>
    </row>
    <row r="699" spans="1:26" ht="15.75" customHeight="1" x14ac:dyDescent="0.3">
      <c r="A699" s="2" t="s">
        <v>1668</v>
      </c>
      <c r="B699" s="2" t="s">
        <v>1669</v>
      </c>
      <c r="C699" s="2" t="s">
        <v>144</v>
      </c>
      <c r="D699" s="2" t="s">
        <v>19</v>
      </c>
      <c r="E699" s="2" t="s">
        <v>32</v>
      </c>
      <c r="F699" s="2">
        <v>4</v>
      </c>
      <c r="G699" s="2">
        <v>2855.46</v>
      </c>
      <c r="H699" s="2">
        <v>11421.84</v>
      </c>
      <c r="I699" s="2">
        <v>8810.9</v>
      </c>
      <c r="J699" s="2">
        <v>2610.94</v>
      </c>
      <c r="K699" s="3">
        <v>45973</v>
      </c>
      <c r="L699" s="3">
        <v>45979</v>
      </c>
      <c r="M699" s="2" t="s">
        <v>21</v>
      </c>
      <c r="N699" s="2">
        <v>1</v>
      </c>
      <c r="O699" s="2" t="s">
        <v>145</v>
      </c>
      <c r="P699" s="25">
        <v>6.9</v>
      </c>
      <c r="Q699" t="str">
        <f t="shared" si="91"/>
        <v>0698</v>
      </c>
      <c r="R699" t="str">
        <f>IF('RETAIL SALES DATA.'!H699&gt;AVERAGE('RETAIL SALES DATA.'!H699:H1698),"HIGHEST VALUE","LOWEST VALUE")</f>
        <v>LOWEST VALUE</v>
      </c>
      <c r="S699" t="str">
        <f t="shared" si="92"/>
        <v>Profit</v>
      </c>
      <c r="T699" t="str">
        <f t="shared" si="93"/>
        <v>Phillip Herrera</v>
      </c>
      <c r="U699" t="str">
        <f t="shared" si="94"/>
        <v>File</v>
      </c>
      <c r="V699">
        <f t="shared" si="95"/>
        <v>2025</v>
      </c>
      <c r="W699">
        <f t="shared" si="96"/>
        <v>11</v>
      </c>
      <c r="X699">
        <f t="shared" si="97"/>
        <v>12</v>
      </c>
      <c r="Y699" t="str">
        <f t="shared" si="98"/>
        <v>Nov</v>
      </c>
      <c r="Z699">
        <f t="shared" si="99"/>
        <v>6</v>
      </c>
    </row>
    <row r="700" spans="1:26" ht="15.75" customHeight="1" x14ac:dyDescent="0.3">
      <c r="A700" s="2" t="s">
        <v>1670</v>
      </c>
      <c r="B700" s="2" t="s">
        <v>1671</v>
      </c>
      <c r="C700" s="2" t="s">
        <v>42</v>
      </c>
      <c r="D700" s="2" t="s">
        <v>43</v>
      </c>
      <c r="E700" s="2" t="s">
        <v>20</v>
      </c>
      <c r="F700" s="2">
        <v>3</v>
      </c>
      <c r="G700" s="2">
        <v>1605.28</v>
      </c>
      <c r="H700" s="2">
        <v>4815.84</v>
      </c>
      <c r="I700" s="2">
        <v>3054.29</v>
      </c>
      <c r="J700" s="2">
        <v>1761.55</v>
      </c>
      <c r="K700" s="3">
        <v>45630</v>
      </c>
      <c r="L700" s="3">
        <v>45634</v>
      </c>
      <c r="M700" s="2" t="s">
        <v>50</v>
      </c>
      <c r="N700" s="2">
        <v>2</v>
      </c>
      <c r="O700" s="2" t="s">
        <v>515</v>
      </c>
      <c r="P700" s="25">
        <v>8.8000000000000007</v>
      </c>
      <c r="Q700" t="str">
        <f t="shared" si="91"/>
        <v>0699</v>
      </c>
      <c r="R700" t="str">
        <f>IF('RETAIL SALES DATA.'!H700&gt;AVERAGE('RETAIL SALES DATA.'!H700:H1699),"HIGHEST VALUE","LOWEST VALUE")</f>
        <v>LOWEST VALUE</v>
      </c>
      <c r="S700" t="str">
        <f t="shared" si="92"/>
        <v>Profit</v>
      </c>
      <c r="T700" t="str">
        <f t="shared" si="93"/>
        <v>William Graves</v>
      </c>
      <c r="U700" t="str">
        <f t="shared" si="94"/>
        <v>Laptop</v>
      </c>
      <c r="V700">
        <f t="shared" si="95"/>
        <v>2024</v>
      </c>
      <c r="W700">
        <f t="shared" si="96"/>
        <v>12</v>
      </c>
      <c r="X700">
        <f t="shared" si="97"/>
        <v>4</v>
      </c>
      <c r="Y700" t="str">
        <f t="shared" si="98"/>
        <v>Dec</v>
      </c>
      <c r="Z700">
        <f t="shared" si="99"/>
        <v>4</v>
      </c>
    </row>
    <row r="701" spans="1:26" ht="15.75" customHeight="1" x14ac:dyDescent="0.3">
      <c r="A701" s="2" t="s">
        <v>1672</v>
      </c>
      <c r="B701" s="2" t="s">
        <v>1673</v>
      </c>
      <c r="C701" s="2" t="s">
        <v>57</v>
      </c>
      <c r="D701" s="2" t="s">
        <v>19</v>
      </c>
      <c r="E701" s="2" t="s">
        <v>20</v>
      </c>
      <c r="F701" s="2">
        <v>7</v>
      </c>
      <c r="G701" s="2">
        <v>2207.2199999999998</v>
      </c>
      <c r="H701" s="2">
        <v>15450.54</v>
      </c>
      <c r="I701" s="2">
        <v>11970.78</v>
      </c>
      <c r="J701" s="2">
        <v>3479.76</v>
      </c>
      <c r="K701" s="3">
        <v>45694</v>
      </c>
      <c r="L701" s="3">
        <v>45695</v>
      </c>
      <c r="M701" s="2" t="s">
        <v>123</v>
      </c>
      <c r="N701" s="2">
        <v>1</v>
      </c>
      <c r="O701" s="2" t="s">
        <v>370</v>
      </c>
      <c r="P701" s="25">
        <v>6.5</v>
      </c>
      <c r="Q701" t="str">
        <f t="shared" si="91"/>
        <v>0700</v>
      </c>
      <c r="R701" t="str">
        <f>IF('RETAIL SALES DATA.'!H701&gt;AVERAGE('RETAIL SALES DATA.'!H701:H1700),"HIGHEST VALUE","LOWEST VALUE")</f>
        <v>LOWEST VALUE</v>
      </c>
      <c r="S701" t="str">
        <f t="shared" si="92"/>
        <v>Profit</v>
      </c>
      <c r="T701" t="str">
        <f t="shared" si="93"/>
        <v>Martin Gardner</v>
      </c>
      <c r="U701" t="str">
        <f t="shared" si="94"/>
        <v>Notebook</v>
      </c>
      <c r="V701">
        <f t="shared" si="95"/>
        <v>2025</v>
      </c>
      <c r="W701">
        <f t="shared" si="96"/>
        <v>2</v>
      </c>
      <c r="X701">
        <f t="shared" si="97"/>
        <v>6</v>
      </c>
      <c r="Y701" t="str">
        <f t="shared" si="98"/>
        <v>Feb</v>
      </c>
      <c r="Z701">
        <f t="shared" si="99"/>
        <v>1</v>
      </c>
    </row>
    <row r="702" spans="1:26" ht="15.75" customHeight="1" x14ac:dyDescent="0.3">
      <c r="A702" s="2" t="s">
        <v>1674</v>
      </c>
      <c r="B702" s="2" t="s">
        <v>1675</v>
      </c>
      <c r="C702" s="2" t="s">
        <v>88</v>
      </c>
      <c r="D702" s="2" t="s">
        <v>31</v>
      </c>
      <c r="E702" s="2" t="s">
        <v>32</v>
      </c>
      <c r="F702" s="2">
        <v>12</v>
      </c>
      <c r="G702" s="2">
        <v>204.01</v>
      </c>
      <c r="H702" s="2">
        <v>2448.12</v>
      </c>
      <c r="I702" s="2">
        <v>1391.17</v>
      </c>
      <c r="J702" s="2">
        <v>1056.95</v>
      </c>
      <c r="K702" s="3">
        <v>45752</v>
      </c>
      <c r="L702" s="3">
        <v>45761</v>
      </c>
      <c r="M702" s="2" t="s">
        <v>50</v>
      </c>
      <c r="N702" s="2">
        <v>5</v>
      </c>
      <c r="O702" s="2" t="s">
        <v>496</v>
      </c>
      <c r="P702" s="25">
        <v>7.5</v>
      </c>
      <c r="Q702" t="str">
        <f t="shared" si="91"/>
        <v>0701</v>
      </c>
      <c r="R702" t="str">
        <f>IF('RETAIL SALES DATA.'!H702&gt;AVERAGE('RETAIL SALES DATA.'!H702:H1701),"HIGHEST VALUE","LOWEST VALUE")</f>
        <v>LOWEST VALUE</v>
      </c>
      <c r="S702" t="str">
        <f t="shared" si="92"/>
        <v>Profit</v>
      </c>
      <c r="T702" t="str">
        <f t="shared" si="93"/>
        <v>Lisa Munoz</v>
      </c>
      <c r="U702" t="str">
        <f t="shared" si="94"/>
        <v>Cupboard</v>
      </c>
      <c r="V702">
        <f t="shared" si="95"/>
        <v>2025</v>
      </c>
      <c r="W702">
        <f t="shared" si="96"/>
        <v>4</v>
      </c>
      <c r="X702">
        <f t="shared" si="97"/>
        <v>5</v>
      </c>
      <c r="Y702" t="str">
        <f t="shared" si="98"/>
        <v>Apr</v>
      </c>
      <c r="Z702">
        <f t="shared" si="99"/>
        <v>9</v>
      </c>
    </row>
    <row r="703" spans="1:26" ht="15.75" customHeight="1" x14ac:dyDescent="0.3">
      <c r="A703" s="2" t="s">
        <v>1676</v>
      </c>
      <c r="B703" s="2" t="s">
        <v>1677</v>
      </c>
      <c r="C703" s="2" t="s">
        <v>139</v>
      </c>
      <c r="D703" s="2" t="s">
        <v>31</v>
      </c>
      <c r="E703" s="2" t="s">
        <v>32</v>
      </c>
      <c r="F703" s="2">
        <v>15</v>
      </c>
      <c r="G703" s="2">
        <v>681.75</v>
      </c>
      <c r="H703" s="2">
        <v>10226.25</v>
      </c>
      <c r="I703" s="2">
        <v>8133.07</v>
      </c>
      <c r="J703" s="2">
        <v>2093.1799999999998</v>
      </c>
      <c r="K703" s="3">
        <v>45754</v>
      </c>
      <c r="L703" s="3">
        <v>45757</v>
      </c>
      <c r="M703" s="2" t="s">
        <v>21</v>
      </c>
      <c r="N703" s="2">
        <v>1</v>
      </c>
      <c r="O703" s="2" t="s">
        <v>683</v>
      </c>
      <c r="P703" s="25">
        <v>8.3000000000000007</v>
      </c>
      <c r="Q703" t="str">
        <f t="shared" si="91"/>
        <v>0702</v>
      </c>
      <c r="R703" t="str">
        <f>IF('RETAIL SALES DATA.'!H703&gt;AVERAGE('RETAIL SALES DATA.'!H703:H1702),"HIGHEST VALUE","LOWEST VALUE")</f>
        <v>LOWEST VALUE</v>
      </c>
      <c r="S703" t="str">
        <f t="shared" si="92"/>
        <v>Profit</v>
      </c>
      <c r="T703" t="str">
        <f t="shared" si="93"/>
        <v>Kimberly Davis</v>
      </c>
      <c r="U703" t="str">
        <f t="shared" si="94"/>
        <v>Sofa</v>
      </c>
      <c r="V703">
        <f t="shared" si="95"/>
        <v>2025</v>
      </c>
      <c r="W703">
        <f t="shared" si="96"/>
        <v>4</v>
      </c>
      <c r="X703">
        <f t="shared" si="97"/>
        <v>7</v>
      </c>
      <c r="Y703" t="str">
        <f t="shared" si="98"/>
        <v>Apr</v>
      </c>
      <c r="Z703">
        <f t="shared" si="99"/>
        <v>3</v>
      </c>
    </row>
    <row r="704" spans="1:26" ht="15.75" customHeight="1" x14ac:dyDescent="0.3">
      <c r="A704" s="2" t="s">
        <v>1678</v>
      </c>
      <c r="B704" s="2" t="s">
        <v>1679</v>
      </c>
      <c r="C704" s="2" t="s">
        <v>144</v>
      </c>
      <c r="D704" s="2" t="s">
        <v>19</v>
      </c>
      <c r="E704" s="2" t="s">
        <v>25</v>
      </c>
      <c r="F704" s="2">
        <v>16</v>
      </c>
      <c r="G704" s="2">
        <v>1733.31</v>
      </c>
      <c r="H704" s="2">
        <v>27732.959999999999</v>
      </c>
      <c r="I704" s="2">
        <v>19384.46</v>
      </c>
      <c r="J704" s="2">
        <v>8348.5</v>
      </c>
      <c r="K704" s="3">
        <v>45792</v>
      </c>
      <c r="L704" s="3">
        <v>45795</v>
      </c>
      <c r="M704" s="2" t="s">
        <v>38</v>
      </c>
      <c r="N704" s="2">
        <v>2</v>
      </c>
      <c r="O704" s="2" t="s">
        <v>1035</v>
      </c>
      <c r="P704" s="25">
        <v>8.9</v>
      </c>
      <c r="Q704" t="str">
        <f t="shared" si="91"/>
        <v>0703</v>
      </c>
      <c r="R704" t="str">
        <f>IF('RETAIL SALES DATA.'!H704&gt;AVERAGE('RETAIL SALES DATA.'!H704:H1703),"HIGHEST VALUE","LOWEST VALUE")</f>
        <v>HIGHEST VALUE</v>
      </c>
      <c r="S704" t="str">
        <f t="shared" si="92"/>
        <v>Profit</v>
      </c>
      <c r="T704" t="str">
        <f t="shared" si="93"/>
        <v>Nancy Walker</v>
      </c>
      <c r="U704" t="str">
        <f t="shared" si="94"/>
        <v>File</v>
      </c>
      <c r="V704">
        <f t="shared" si="95"/>
        <v>2025</v>
      </c>
      <c r="W704">
        <f t="shared" si="96"/>
        <v>5</v>
      </c>
      <c r="X704">
        <f t="shared" si="97"/>
        <v>15</v>
      </c>
      <c r="Y704" t="str">
        <f t="shared" si="98"/>
        <v>May</v>
      </c>
      <c r="Z704">
        <f t="shared" si="99"/>
        <v>3</v>
      </c>
    </row>
    <row r="705" spans="1:26" ht="15.75" customHeight="1" x14ac:dyDescent="0.3">
      <c r="A705" s="2" t="s">
        <v>1680</v>
      </c>
      <c r="B705" s="2" t="s">
        <v>1681</v>
      </c>
      <c r="C705" s="2" t="s">
        <v>62</v>
      </c>
      <c r="D705" s="2" t="s">
        <v>31</v>
      </c>
      <c r="E705" s="2" t="s">
        <v>32</v>
      </c>
      <c r="F705" s="2">
        <v>18</v>
      </c>
      <c r="G705" s="2">
        <v>184.94</v>
      </c>
      <c r="H705" s="2">
        <v>3328.92</v>
      </c>
      <c r="I705" s="2">
        <v>1667.34</v>
      </c>
      <c r="J705" s="2">
        <v>1661.58</v>
      </c>
      <c r="K705" s="3">
        <v>46106</v>
      </c>
      <c r="L705" s="3">
        <v>46110</v>
      </c>
      <c r="M705" s="2" t="s">
        <v>181</v>
      </c>
      <c r="N705" s="2">
        <v>4</v>
      </c>
      <c r="O705" s="2" t="s">
        <v>663</v>
      </c>
      <c r="P705" s="25">
        <v>8.8000000000000007</v>
      </c>
      <c r="Q705" t="str">
        <f t="shared" si="91"/>
        <v>0704</v>
      </c>
      <c r="R705" t="str">
        <f>IF('RETAIL SALES DATA.'!H705&gt;AVERAGE('RETAIL SALES DATA.'!H705:H1704),"HIGHEST VALUE","LOWEST VALUE")</f>
        <v>LOWEST VALUE</v>
      </c>
      <c r="S705" t="str">
        <f t="shared" si="92"/>
        <v>Profit</v>
      </c>
      <c r="T705" t="str">
        <f t="shared" si="93"/>
        <v>Helen Maxwell</v>
      </c>
      <c r="U705" t="str">
        <f t="shared" si="94"/>
        <v>Table</v>
      </c>
      <c r="V705">
        <f t="shared" si="95"/>
        <v>2026</v>
      </c>
      <c r="W705">
        <f t="shared" si="96"/>
        <v>3</v>
      </c>
      <c r="X705">
        <f t="shared" si="97"/>
        <v>25</v>
      </c>
      <c r="Y705" t="str">
        <f t="shared" si="98"/>
        <v>Mar</v>
      </c>
      <c r="Z705">
        <f t="shared" si="99"/>
        <v>4</v>
      </c>
    </row>
    <row r="706" spans="1:26" ht="15.75" customHeight="1" x14ac:dyDescent="0.3">
      <c r="A706" s="2" t="s">
        <v>1682</v>
      </c>
      <c r="B706" s="2" t="s">
        <v>1683</v>
      </c>
      <c r="C706" s="2" t="s">
        <v>62</v>
      </c>
      <c r="D706" s="2" t="s">
        <v>31</v>
      </c>
      <c r="E706" s="2" t="s">
        <v>44</v>
      </c>
      <c r="F706" s="2">
        <v>6</v>
      </c>
      <c r="G706" s="2">
        <v>1150.8599999999999</v>
      </c>
      <c r="H706" s="2">
        <v>6905.16</v>
      </c>
      <c r="I706" s="2">
        <v>5890.41</v>
      </c>
      <c r="J706" s="2">
        <v>1014.75</v>
      </c>
      <c r="K706" s="3">
        <v>45591</v>
      </c>
      <c r="L706" s="3">
        <v>45600</v>
      </c>
      <c r="M706" s="2" t="s">
        <v>58</v>
      </c>
      <c r="N706" s="2">
        <v>2</v>
      </c>
      <c r="O706" s="2" t="s">
        <v>59</v>
      </c>
      <c r="P706" s="25">
        <v>9.5</v>
      </c>
      <c r="Q706" t="str">
        <f t="shared" si="91"/>
        <v>0705</v>
      </c>
      <c r="R706" t="str">
        <f>IF('RETAIL SALES DATA.'!H706&gt;AVERAGE('RETAIL SALES DATA.'!H706:H1705),"HIGHEST VALUE","LOWEST VALUE")</f>
        <v>LOWEST VALUE</v>
      </c>
      <c r="S706" t="str">
        <f t="shared" si="92"/>
        <v>Profit</v>
      </c>
      <c r="T706" t="str">
        <f t="shared" si="93"/>
        <v>Martin Zimmerman</v>
      </c>
      <c r="U706" t="str">
        <f t="shared" si="94"/>
        <v>Table</v>
      </c>
      <c r="V706">
        <f t="shared" si="95"/>
        <v>2024</v>
      </c>
      <c r="W706">
        <f t="shared" si="96"/>
        <v>11</v>
      </c>
      <c r="X706">
        <f t="shared" si="97"/>
        <v>26</v>
      </c>
      <c r="Y706" t="str">
        <f t="shared" si="98"/>
        <v>Oct</v>
      </c>
      <c r="Z706">
        <f t="shared" si="99"/>
        <v>9</v>
      </c>
    </row>
    <row r="707" spans="1:26" ht="15.75" customHeight="1" x14ac:dyDescent="0.3">
      <c r="A707" s="2" t="s">
        <v>1684</v>
      </c>
      <c r="B707" s="2" t="s">
        <v>1685</v>
      </c>
      <c r="C707" s="2" t="s">
        <v>42</v>
      </c>
      <c r="D707" s="2" t="s">
        <v>43</v>
      </c>
      <c r="E707" s="2" t="s">
        <v>20</v>
      </c>
      <c r="F707" s="2">
        <v>18</v>
      </c>
      <c r="G707" s="2">
        <v>2873.48</v>
      </c>
      <c r="H707" s="2">
        <v>51722.64</v>
      </c>
      <c r="I707" s="2">
        <v>39164.21</v>
      </c>
      <c r="J707" s="2">
        <v>12558.43</v>
      </c>
      <c r="K707" s="3">
        <v>45963</v>
      </c>
      <c r="L707" s="3">
        <v>45970</v>
      </c>
      <c r="M707" s="2" t="s">
        <v>38</v>
      </c>
      <c r="N707" s="2">
        <v>4</v>
      </c>
      <c r="O707" s="2" t="s">
        <v>499</v>
      </c>
      <c r="P707" s="25">
        <v>6.2</v>
      </c>
      <c r="Q707" t="str">
        <f t="shared" ref="Q707:Q770" si="100">RIGHT(A707,"4")</f>
        <v>0706</v>
      </c>
      <c r="R707" t="str">
        <f>IF('RETAIL SALES DATA.'!H707&gt;AVERAGE('RETAIL SALES DATA.'!H707:H1706),"HIGHEST VALUE","LOWEST VALUE")</f>
        <v>HIGHEST VALUE</v>
      </c>
      <c r="S707" t="str">
        <f t="shared" ref="S707:S770" si="101">IF(J707&gt;0,"Profit","Loss")</f>
        <v>Profit</v>
      </c>
      <c r="T707" t="str">
        <f t="shared" ref="T707:T770" si="102">PROPER(B707)</f>
        <v>Michael Chapman</v>
      </c>
      <c r="U707" t="str">
        <f t="shared" ref="U707:U770" si="103">PROPER(C707)</f>
        <v>Laptop</v>
      </c>
      <c r="V707">
        <f t="shared" ref="V707:V770" si="104">YEAR(K707)</f>
        <v>2025</v>
      </c>
      <c r="W707">
        <f t="shared" ref="W707:W770" si="105">MONTH(L707)</f>
        <v>11</v>
      </c>
      <c r="X707">
        <f t="shared" ref="X707:X770" si="106">DAY(K707)</f>
        <v>2</v>
      </c>
      <c r="Y707" t="str">
        <f t="shared" ref="Y707:Y770" si="107">TEXT(K707,"MMM")</f>
        <v>Nov</v>
      </c>
      <c r="Z707">
        <f t="shared" ref="Z707:Z770" si="108">L707-K707</f>
        <v>7</v>
      </c>
    </row>
    <row r="708" spans="1:26" ht="15.75" customHeight="1" x14ac:dyDescent="0.3">
      <c r="A708" s="2" t="s">
        <v>1686</v>
      </c>
      <c r="B708" s="2" t="s">
        <v>1687</v>
      </c>
      <c r="C708" s="2" t="s">
        <v>30</v>
      </c>
      <c r="D708" s="2" t="s">
        <v>31</v>
      </c>
      <c r="E708" s="2" t="s">
        <v>20</v>
      </c>
      <c r="F708" s="2">
        <v>1</v>
      </c>
      <c r="G708" s="2">
        <v>3600.67</v>
      </c>
      <c r="H708" s="2">
        <v>3600.67</v>
      </c>
      <c r="I708" s="2">
        <v>2522.62</v>
      </c>
      <c r="J708" s="2">
        <v>1078.05</v>
      </c>
      <c r="K708" s="3">
        <v>45519</v>
      </c>
      <c r="L708" s="3">
        <v>45522</v>
      </c>
      <c r="M708" s="2" t="s">
        <v>26</v>
      </c>
      <c r="N708" s="2">
        <v>1</v>
      </c>
      <c r="O708" s="2" t="s">
        <v>888</v>
      </c>
      <c r="P708" s="25">
        <v>6.4</v>
      </c>
      <c r="Q708" t="str">
        <f t="shared" si="100"/>
        <v>0707</v>
      </c>
      <c r="R708" t="str">
        <f>IF('RETAIL SALES DATA.'!H708&gt;AVERAGE('RETAIL SALES DATA.'!H708:H1707),"HIGHEST VALUE","LOWEST VALUE")</f>
        <v>LOWEST VALUE</v>
      </c>
      <c r="S708" t="str">
        <f t="shared" si="101"/>
        <v>Profit</v>
      </c>
      <c r="T708" t="str">
        <f t="shared" si="102"/>
        <v>Courtney Gray</v>
      </c>
      <c r="U708" t="str">
        <f t="shared" si="103"/>
        <v>Desk</v>
      </c>
      <c r="V708">
        <f t="shared" si="104"/>
        <v>2024</v>
      </c>
      <c r="W708">
        <f t="shared" si="105"/>
        <v>8</v>
      </c>
      <c r="X708">
        <f t="shared" si="106"/>
        <v>15</v>
      </c>
      <c r="Y708" t="str">
        <f t="shared" si="107"/>
        <v>Aug</v>
      </c>
      <c r="Z708">
        <f t="shared" si="108"/>
        <v>3</v>
      </c>
    </row>
    <row r="709" spans="1:26" ht="15.75" customHeight="1" x14ac:dyDescent="0.3">
      <c r="A709" s="2" t="s">
        <v>1688</v>
      </c>
      <c r="B709" s="2" t="s">
        <v>1689</v>
      </c>
      <c r="C709" s="2" t="s">
        <v>168</v>
      </c>
      <c r="D709" s="2" t="s">
        <v>43</v>
      </c>
      <c r="E709" s="2" t="s">
        <v>20</v>
      </c>
      <c r="F709" s="2">
        <v>4</v>
      </c>
      <c r="G709" s="2">
        <v>2457.9</v>
      </c>
      <c r="H709" s="2">
        <v>9831.6</v>
      </c>
      <c r="I709" s="2">
        <v>7110.21</v>
      </c>
      <c r="J709" s="2">
        <v>2721.39</v>
      </c>
      <c r="K709" s="3">
        <v>45881</v>
      </c>
      <c r="L709" s="3">
        <v>45884</v>
      </c>
      <c r="M709" s="2" t="s">
        <v>21</v>
      </c>
      <c r="N709" s="2">
        <v>5</v>
      </c>
      <c r="O709" s="2" t="s">
        <v>429</v>
      </c>
      <c r="P709" s="25">
        <v>6.8</v>
      </c>
      <c r="Q709" t="str">
        <f t="shared" si="100"/>
        <v>0708</v>
      </c>
      <c r="R709" t="str">
        <f>IF('RETAIL SALES DATA.'!H709&gt;AVERAGE('RETAIL SALES DATA.'!H709:H1708),"HIGHEST VALUE","LOWEST VALUE")</f>
        <v>LOWEST VALUE</v>
      </c>
      <c r="S709" t="str">
        <f t="shared" si="101"/>
        <v>Profit</v>
      </c>
      <c r="T709" t="str">
        <f t="shared" si="102"/>
        <v>Daniel Howell</v>
      </c>
      <c r="U709" t="str">
        <f t="shared" si="103"/>
        <v>Keyboard</v>
      </c>
      <c r="V709">
        <f t="shared" si="104"/>
        <v>2025</v>
      </c>
      <c r="W709">
        <f t="shared" si="105"/>
        <v>8</v>
      </c>
      <c r="X709">
        <f t="shared" si="106"/>
        <v>12</v>
      </c>
      <c r="Y709" t="str">
        <f t="shared" si="107"/>
        <v>Aug</v>
      </c>
      <c r="Z709">
        <f t="shared" si="108"/>
        <v>3</v>
      </c>
    </row>
    <row r="710" spans="1:26" ht="15.75" customHeight="1" x14ac:dyDescent="0.3">
      <c r="A710" s="2" t="s">
        <v>1690</v>
      </c>
      <c r="B710" s="2" t="s">
        <v>1691</v>
      </c>
      <c r="C710" s="2" t="s">
        <v>37</v>
      </c>
      <c r="D710" s="2" t="s">
        <v>19</v>
      </c>
      <c r="E710" s="2" t="s">
        <v>25</v>
      </c>
      <c r="F710" s="2">
        <v>13</v>
      </c>
      <c r="G710" s="2">
        <v>529.57000000000005</v>
      </c>
      <c r="H710" s="2">
        <v>6884.41</v>
      </c>
      <c r="I710" s="2">
        <v>4974.62</v>
      </c>
      <c r="J710" s="2">
        <v>1909.79</v>
      </c>
      <c r="K710" s="3">
        <v>45689</v>
      </c>
      <c r="L710" s="3">
        <v>45692</v>
      </c>
      <c r="M710" s="2" t="s">
        <v>45</v>
      </c>
      <c r="N710" s="2">
        <v>5</v>
      </c>
      <c r="O710" s="2" t="s">
        <v>281</v>
      </c>
      <c r="P710" s="25">
        <v>6.8</v>
      </c>
      <c r="Q710" t="str">
        <f t="shared" si="100"/>
        <v>0709</v>
      </c>
      <c r="R710" t="str">
        <f>IF('RETAIL SALES DATA.'!H710&gt;AVERAGE('RETAIL SALES DATA.'!H710:H1709),"HIGHEST VALUE","LOWEST VALUE")</f>
        <v>LOWEST VALUE</v>
      </c>
      <c r="S710" t="str">
        <f t="shared" si="101"/>
        <v>Profit</v>
      </c>
      <c r="T710" t="str">
        <f t="shared" si="102"/>
        <v>Hannah Valencia</v>
      </c>
      <c r="U710" t="str">
        <f t="shared" si="103"/>
        <v>Marker</v>
      </c>
      <c r="V710">
        <f t="shared" si="104"/>
        <v>2025</v>
      </c>
      <c r="W710">
        <f t="shared" si="105"/>
        <v>2</v>
      </c>
      <c r="X710">
        <f t="shared" si="106"/>
        <v>1</v>
      </c>
      <c r="Y710" t="str">
        <f t="shared" si="107"/>
        <v>Feb</v>
      </c>
      <c r="Z710">
        <f t="shared" si="108"/>
        <v>3</v>
      </c>
    </row>
    <row r="711" spans="1:26" ht="15.75" customHeight="1" x14ac:dyDescent="0.3">
      <c r="A711" s="2" t="s">
        <v>1692</v>
      </c>
      <c r="B711" s="2" t="s">
        <v>1693</v>
      </c>
      <c r="C711" s="2" t="s">
        <v>72</v>
      </c>
      <c r="D711" s="2" t="s">
        <v>31</v>
      </c>
      <c r="E711" s="2" t="s">
        <v>32</v>
      </c>
      <c r="F711" s="2">
        <v>16</v>
      </c>
      <c r="G711" s="2">
        <v>3051.06</v>
      </c>
      <c r="H711" s="2">
        <v>48816.959999999999</v>
      </c>
      <c r="I711" s="2">
        <v>25307.37</v>
      </c>
      <c r="J711" s="2">
        <v>23509.59</v>
      </c>
      <c r="K711" s="3">
        <v>46038</v>
      </c>
      <c r="L711" s="3">
        <v>46043</v>
      </c>
      <c r="M711" s="2" t="s">
        <v>50</v>
      </c>
      <c r="N711" s="2">
        <v>3</v>
      </c>
      <c r="O711" s="2" t="s">
        <v>46</v>
      </c>
      <c r="P711" s="25">
        <v>9.6</v>
      </c>
      <c r="Q711" t="str">
        <f t="shared" si="100"/>
        <v>0710</v>
      </c>
      <c r="R711" t="str">
        <f>IF('RETAIL SALES DATA.'!H711&gt;AVERAGE('RETAIL SALES DATA.'!H711:H1710),"HIGHEST VALUE","LOWEST VALUE")</f>
        <v>HIGHEST VALUE</v>
      </c>
      <c r="S711" t="str">
        <f t="shared" si="101"/>
        <v>Profit</v>
      </c>
      <c r="T711" t="str">
        <f t="shared" si="102"/>
        <v>Diane Chavez</v>
      </c>
      <c r="U711" t="str">
        <f t="shared" si="103"/>
        <v>Chair</v>
      </c>
      <c r="V711">
        <f t="shared" si="104"/>
        <v>2026</v>
      </c>
      <c r="W711">
        <f t="shared" si="105"/>
        <v>1</v>
      </c>
      <c r="X711">
        <f t="shared" si="106"/>
        <v>16</v>
      </c>
      <c r="Y711" t="str">
        <f t="shared" si="107"/>
        <v>Jan</v>
      </c>
      <c r="Z711">
        <f t="shared" si="108"/>
        <v>5</v>
      </c>
    </row>
    <row r="712" spans="1:26" ht="15.75" customHeight="1" x14ac:dyDescent="0.3">
      <c r="A712" s="2" t="s">
        <v>1694</v>
      </c>
      <c r="B712" s="2" t="s">
        <v>1695</v>
      </c>
      <c r="C712" s="2" t="s">
        <v>168</v>
      </c>
      <c r="D712" s="2" t="s">
        <v>43</v>
      </c>
      <c r="E712" s="2" t="s">
        <v>32</v>
      </c>
      <c r="F712" s="2">
        <v>18</v>
      </c>
      <c r="G712" s="2">
        <v>3644.55</v>
      </c>
      <c r="H712" s="2">
        <v>65601.899999999994</v>
      </c>
      <c r="I712" s="2">
        <v>45282.78</v>
      </c>
      <c r="J712" s="2">
        <v>20319.12</v>
      </c>
      <c r="K712" s="3">
        <v>45754</v>
      </c>
      <c r="L712" s="3">
        <v>45762</v>
      </c>
      <c r="M712" s="2" t="s">
        <v>50</v>
      </c>
      <c r="N712" s="2">
        <v>5</v>
      </c>
      <c r="O712" s="2" t="s">
        <v>1322</v>
      </c>
      <c r="P712" s="25">
        <v>7</v>
      </c>
      <c r="Q712" t="str">
        <f t="shared" si="100"/>
        <v>0711</v>
      </c>
      <c r="R712" t="str">
        <f>IF('RETAIL SALES DATA.'!H712&gt;AVERAGE('RETAIL SALES DATA.'!H712:H1711),"HIGHEST VALUE","LOWEST VALUE")</f>
        <v>HIGHEST VALUE</v>
      </c>
      <c r="S712" t="str">
        <f t="shared" si="101"/>
        <v>Profit</v>
      </c>
      <c r="T712" t="str">
        <f t="shared" si="102"/>
        <v>James Howard</v>
      </c>
      <c r="U712" t="str">
        <f t="shared" si="103"/>
        <v>Keyboard</v>
      </c>
      <c r="V712">
        <f t="shared" si="104"/>
        <v>2025</v>
      </c>
      <c r="W712">
        <f t="shared" si="105"/>
        <v>4</v>
      </c>
      <c r="X712">
        <f t="shared" si="106"/>
        <v>7</v>
      </c>
      <c r="Y712" t="str">
        <f t="shared" si="107"/>
        <v>Apr</v>
      </c>
      <c r="Z712">
        <f t="shared" si="108"/>
        <v>8</v>
      </c>
    </row>
    <row r="713" spans="1:26" ht="15.75" customHeight="1" x14ac:dyDescent="0.3">
      <c r="A713" s="2" t="s">
        <v>1696</v>
      </c>
      <c r="B713" s="2" t="s">
        <v>1697</v>
      </c>
      <c r="C713" s="2" t="s">
        <v>88</v>
      </c>
      <c r="D713" s="2" t="s">
        <v>31</v>
      </c>
      <c r="E713" s="2" t="s">
        <v>25</v>
      </c>
      <c r="F713" s="2">
        <v>14</v>
      </c>
      <c r="G713" s="2">
        <v>4466.8599999999997</v>
      </c>
      <c r="H713" s="2">
        <v>62536.04</v>
      </c>
      <c r="I713" s="2">
        <v>51969.42</v>
      </c>
      <c r="J713" s="2">
        <v>10566.62</v>
      </c>
      <c r="K713" s="3">
        <v>46130</v>
      </c>
      <c r="L713" s="3">
        <v>46132</v>
      </c>
      <c r="M713" s="2" t="s">
        <v>181</v>
      </c>
      <c r="N713" s="2">
        <v>1</v>
      </c>
      <c r="O713" s="2" t="s">
        <v>63</v>
      </c>
      <c r="P713" s="25">
        <v>6.6</v>
      </c>
      <c r="Q713" t="str">
        <f t="shared" si="100"/>
        <v>0712</v>
      </c>
      <c r="R713" t="str">
        <f>IF('RETAIL SALES DATA.'!H713&gt;AVERAGE('RETAIL SALES DATA.'!H713:H1712),"HIGHEST VALUE","LOWEST VALUE")</f>
        <v>HIGHEST VALUE</v>
      </c>
      <c r="S713" t="str">
        <f t="shared" si="101"/>
        <v>Profit</v>
      </c>
      <c r="T713" t="str">
        <f t="shared" si="102"/>
        <v>Denise Gutierrez</v>
      </c>
      <c r="U713" t="str">
        <f t="shared" si="103"/>
        <v>Cupboard</v>
      </c>
      <c r="V713">
        <f t="shared" si="104"/>
        <v>2026</v>
      </c>
      <c r="W713">
        <f t="shared" si="105"/>
        <v>4</v>
      </c>
      <c r="X713">
        <f t="shared" si="106"/>
        <v>18</v>
      </c>
      <c r="Y713" t="str">
        <f t="shared" si="107"/>
        <v>Apr</v>
      </c>
      <c r="Z713">
        <f t="shared" si="108"/>
        <v>2</v>
      </c>
    </row>
    <row r="714" spans="1:26" ht="15.75" customHeight="1" x14ac:dyDescent="0.3">
      <c r="A714" s="2" t="s">
        <v>1698</v>
      </c>
      <c r="B714" s="2" t="s">
        <v>1699</v>
      </c>
      <c r="C714" s="2" t="s">
        <v>139</v>
      </c>
      <c r="D714" s="2" t="s">
        <v>31</v>
      </c>
      <c r="E714" s="2" t="s">
        <v>32</v>
      </c>
      <c r="F714" s="2">
        <v>9</v>
      </c>
      <c r="G714" s="2">
        <v>4128.21</v>
      </c>
      <c r="H714" s="2">
        <v>37153.89</v>
      </c>
      <c r="I714" s="2">
        <v>29179.82</v>
      </c>
      <c r="J714" s="2">
        <v>7974.07</v>
      </c>
      <c r="K714" s="3">
        <v>45627</v>
      </c>
      <c r="L714" s="3">
        <v>45629</v>
      </c>
      <c r="M714" s="2" t="s">
        <v>181</v>
      </c>
      <c r="N714" s="2">
        <v>5</v>
      </c>
      <c r="O714" s="2" t="s">
        <v>335</v>
      </c>
      <c r="P714" s="25">
        <v>7.1</v>
      </c>
      <c r="Q714" t="str">
        <f t="shared" si="100"/>
        <v>0713</v>
      </c>
      <c r="R714" t="str">
        <f>IF('RETAIL SALES DATA.'!H714&gt;AVERAGE('RETAIL SALES DATA.'!H714:H1713),"HIGHEST VALUE","LOWEST VALUE")</f>
        <v>HIGHEST VALUE</v>
      </c>
      <c r="S714" t="str">
        <f t="shared" si="101"/>
        <v>Profit</v>
      </c>
      <c r="T714" t="str">
        <f t="shared" si="102"/>
        <v>Melissa Moody Md</v>
      </c>
      <c r="U714" t="str">
        <f t="shared" si="103"/>
        <v>Sofa</v>
      </c>
      <c r="V714">
        <f t="shared" si="104"/>
        <v>2024</v>
      </c>
      <c r="W714">
        <f t="shared" si="105"/>
        <v>12</v>
      </c>
      <c r="X714">
        <f t="shared" si="106"/>
        <v>1</v>
      </c>
      <c r="Y714" t="str">
        <f t="shared" si="107"/>
        <v>Dec</v>
      </c>
      <c r="Z714">
        <f t="shared" si="108"/>
        <v>2</v>
      </c>
    </row>
    <row r="715" spans="1:26" ht="15.75" customHeight="1" x14ac:dyDescent="0.3">
      <c r="A715" s="2" t="s">
        <v>1700</v>
      </c>
      <c r="B715" s="2" t="s">
        <v>1701</v>
      </c>
      <c r="C715" s="2" t="s">
        <v>42</v>
      </c>
      <c r="D715" s="2" t="s">
        <v>43</v>
      </c>
      <c r="E715" s="2" t="s">
        <v>44</v>
      </c>
      <c r="F715" s="2">
        <v>20</v>
      </c>
      <c r="G715" s="2">
        <v>426.81</v>
      </c>
      <c r="H715" s="2">
        <v>8536.2000000000007</v>
      </c>
      <c r="I715" s="2">
        <v>4271.46</v>
      </c>
      <c r="J715" s="2">
        <v>4264.74</v>
      </c>
      <c r="K715" s="3">
        <v>46074</v>
      </c>
      <c r="L715" s="3">
        <v>46081</v>
      </c>
      <c r="M715" s="2" t="s">
        <v>58</v>
      </c>
      <c r="N715" s="2">
        <v>1</v>
      </c>
      <c r="O715" s="2" t="s">
        <v>645</v>
      </c>
      <c r="P715" s="25">
        <v>7.3</v>
      </c>
      <c r="Q715" t="str">
        <f t="shared" si="100"/>
        <v>0714</v>
      </c>
      <c r="R715" t="str">
        <f>IF('RETAIL SALES DATA.'!H715&gt;AVERAGE('RETAIL SALES DATA.'!H715:H1714),"HIGHEST VALUE","LOWEST VALUE")</f>
        <v>LOWEST VALUE</v>
      </c>
      <c r="S715" t="str">
        <f t="shared" si="101"/>
        <v>Profit</v>
      </c>
      <c r="T715" t="str">
        <f t="shared" si="102"/>
        <v>Robin Morris Md</v>
      </c>
      <c r="U715" t="str">
        <f t="shared" si="103"/>
        <v>Laptop</v>
      </c>
      <c r="V715">
        <f t="shared" si="104"/>
        <v>2026</v>
      </c>
      <c r="W715">
        <f t="shared" si="105"/>
        <v>2</v>
      </c>
      <c r="X715">
        <f t="shared" si="106"/>
        <v>21</v>
      </c>
      <c r="Y715" t="str">
        <f t="shared" si="107"/>
        <v>Feb</v>
      </c>
      <c r="Z715">
        <f t="shared" si="108"/>
        <v>7</v>
      </c>
    </row>
    <row r="716" spans="1:26" ht="15.75" customHeight="1" x14ac:dyDescent="0.3">
      <c r="A716" s="2" t="s">
        <v>1702</v>
      </c>
      <c r="B716" s="2" t="s">
        <v>1703</v>
      </c>
      <c r="C716" s="2" t="s">
        <v>139</v>
      </c>
      <c r="D716" s="2" t="s">
        <v>31</v>
      </c>
      <c r="E716" s="2" t="s">
        <v>32</v>
      </c>
      <c r="F716" s="2">
        <v>3</v>
      </c>
      <c r="G716" s="2">
        <v>4678.99</v>
      </c>
      <c r="H716" s="2">
        <v>14036.97</v>
      </c>
      <c r="I716" s="2">
        <v>8576.89</v>
      </c>
      <c r="J716" s="2">
        <v>5460.08</v>
      </c>
      <c r="K716" s="3">
        <v>45897</v>
      </c>
      <c r="L716" s="3">
        <v>45903</v>
      </c>
      <c r="M716" s="2" t="s">
        <v>50</v>
      </c>
      <c r="N716" s="2">
        <v>4</v>
      </c>
      <c r="O716" s="2" t="s">
        <v>548</v>
      </c>
      <c r="P716" s="25">
        <v>9.4</v>
      </c>
      <c r="Q716" t="str">
        <f t="shared" si="100"/>
        <v>0715</v>
      </c>
      <c r="R716" t="str">
        <f>IF('RETAIL SALES DATA.'!H716&gt;AVERAGE('RETAIL SALES DATA.'!H716:H1715),"HIGHEST VALUE","LOWEST VALUE")</f>
        <v>LOWEST VALUE</v>
      </c>
      <c r="S716" t="str">
        <f t="shared" si="101"/>
        <v>Profit</v>
      </c>
      <c r="T716" t="str">
        <f t="shared" si="102"/>
        <v>Jason Hamilton</v>
      </c>
      <c r="U716" t="str">
        <f t="shared" si="103"/>
        <v>Sofa</v>
      </c>
      <c r="V716">
        <f t="shared" si="104"/>
        <v>2025</v>
      </c>
      <c r="W716">
        <f t="shared" si="105"/>
        <v>9</v>
      </c>
      <c r="X716">
        <f t="shared" si="106"/>
        <v>28</v>
      </c>
      <c r="Y716" t="str">
        <f t="shared" si="107"/>
        <v>Aug</v>
      </c>
      <c r="Z716">
        <f t="shared" si="108"/>
        <v>6</v>
      </c>
    </row>
    <row r="717" spans="1:26" ht="15.75" customHeight="1" x14ac:dyDescent="0.3">
      <c r="A717" s="2" t="s">
        <v>1704</v>
      </c>
      <c r="B717" s="2" t="s">
        <v>1705</v>
      </c>
      <c r="C717" s="2" t="s">
        <v>42</v>
      </c>
      <c r="D717" s="2" t="s">
        <v>43</v>
      </c>
      <c r="E717" s="2" t="s">
        <v>32</v>
      </c>
      <c r="F717" s="2">
        <v>5</v>
      </c>
      <c r="G717" s="2">
        <v>4594.55</v>
      </c>
      <c r="H717" s="2">
        <v>22972.75</v>
      </c>
      <c r="I717" s="2">
        <v>13818.85</v>
      </c>
      <c r="J717" s="2">
        <v>9153.9</v>
      </c>
      <c r="K717" s="3">
        <v>45598</v>
      </c>
      <c r="L717" s="3">
        <v>45606</v>
      </c>
      <c r="M717" s="2" t="s">
        <v>123</v>
      </c>
      <c r="N717" s="2">
        <v>5</v>
      </c>
      <c r="O717" s="2" t="s">
        <v>297</v>
      </c>
      <c r="P717" s="25">
        <v>9.1</v>
      </c>
      <c r="Q717" t="str">
        <f t="shared" si="100"/>
        <v>0716</v>
      </c>
      <c r="R717" t="str">
        <f>IF('RETAIL SALES DATA.'!H717&gt;AVERAGE('RETAIL SALES DATA.'!H717:H1716),"HIGHEST VALUE","LOWEST VALUE")</f>
        <v>LOWEST VALUE</v>
      </c>
      <c r="S717" t="str">
        <f t="shared" si="101"/>
        <v>Profit</v>
      </c>
      <c r="T717" t="str">
        <f t="shared" si="102"/>
        <v>Emily Johnson</v>
      </c>
      <c r="U717" t="str">
        <f t="shared" si="103"/>
        <v>Laptop</v>
      </c>
      <c r="V717">
        <f t="shared" si="104"/>
        <v>2024</v>
      </c>
      <c r="W717">
        <f t="shared" si="105"/>
        <v>11</v>
      </c>
      <c r="X717">
        <f t="shared" si="106"/>
        <v>2</v>
      </c>
      <c r="Y717" t="str">
        <f t="shared" si="107"/>
        <v>Nov</v>
      </c>
      <c r="Z717">
        <f t="shared" si="108"/>
        <v>8</v>
      </c>
    </row>
    <row r="718" spans="1:26" ht="15.75" customHeight="1" x14ac:dyDescent="0.3">
      <c r="A718" s="2" t="s">
        <v>1706</v>
      </c>
      <c r="B718" s="2" t="s">
        <v>1707</v>
      </c>
      <c r="C718" s="2" t="s">
        <v>62</v>
      </c>
      <c r="D718" s="2" t="s">
        <v>31</v>
      </c>
      <c r="E718" s="2" t="s">
        <v>25</v>
      </c>
      <c r="F718" s="2">
        <v>13</v>
      </c>
      <c r="G718" s="2">
        <v>4310.66</v>
      </c>
      <c r="H718" s="2">
        <v>56038.58</v>
      </c>
      <c r="I718" s="2">
        <v>31711.65</v>
      </c>
      <c r="J718" s="2">
        <v>24326.93</v>
      </c>
      <c r="K718" s="3">
        <v>45597</v>
      </c>
      <c r="L718" s="3">
        <v>45600</v>
      </c>
      <c r="M718" s="2" t="s">
        <v>69</v>
      </c>
      <c r="N718" s="2">
        <v>5</v>
      </c>
      <c r="O718" s="2" t="s">
        <v>362</v>
      </c>
      <c r="P718" s="25">
        <v>7.2</v>
      </c>
      <c r="Q718" t="str">
        <f t="shared" si="100"/>
        <v>0717</v>
      </c>
      <c r="R718" t="str">
        <f>IF('RETAIL SALES DATA.'!H718&gt;AVERAGE('RETAIL SALES DATA.'!H718:H1717),"HIGHEST VALUE","LOWEST VALUE")</f>
        <v>HIGHEST VALUE</v>
      </c>
      <c r="S718" t="str">
        <f t="shared" si="101"/>
        <v>Profit</v>
      </c>
      <c r="T718" t="str">
        <f t="shared" si="102"/>
        <v>Ryan Bates</v>
      </c>
      <c r="U718" t="str">
        <f t="shared" si="103"/>
        <v>Table</v>
      </c>
      <c r="V718">
        <f t="shared" si="104"/>
        <v>2024</v>
      </c>
      <c r="W718">
        <f t="shared" si="105"/>
        <v>11</v>
      </c>
      <c r="X718">
        <f t="shared" si="106"/>
        <v>1</v>
      </c>
      <c r="Y718" t="str">
        <f t="shared" si="107"/>
        <v>Nov</v>
      </c>
      <c r="Z718">
        <f t="shared" si="108"/>
        <v>3</v>
      </c>
    </row>
    <row r="719" spans="1:26" ht="15.75" customHeight="1" x14ac:dyDescent="0.3">
      <c r="A719" s="2" t="s">
        <v>1708</v>
      </c>
      <c r="B719" s="2" t="s">
        <v>1709</v>
      </c>
      <c r="C719" s="2" t="s">
        <v>30</v>
      </c>
      <c r="D719" s="2" t="s">
        <v>31</v>
      </c>
      <c r="E719" s="2" t="s">
        <v>44</v>
      </c>
      <c r="F719" s="2">
        <v>9</v>
      </c>
      <c r="G719" s="2">
        <v>574.12</v>
      </c>
      <c r="H719" s="2">
        <v>5167.08</v>
      </c>
      <c r="I719" s="2">
        <v>3351.83</v>
      </c>
      <c r="J719" s="2">
        <v>1815.25</v>
      </c>
      <c r="K719" s="3">
        <v>45865</v>
      </c>
      <c r="L719" s="3">
        <v>45871</v>
      </c>
      <c r="M719" s="2" t="s">
        <v>38</v>
      </c>
      <c r="N719" s="2">
        <v>2</v>
      </c>
      <c r="O719" s="2" t="s">
        <v>780</v>
      </c>
      <c r="P719" s="25">
        <v>8.1</v>
      </c>
      <c r="Q719" t="str">
        <f t="shared" si="100"/>
        <v>0718</v>
      </c>
      <c r="R719" t="str">
        <f>IF('RETAIL SALES DATA.'!H719&gt;AVERAGE('RETAIL SALES DATA.'!H719:H1718),"HIGHEST VALUE","LOWEST VALUE")</f>
        <v>LOWEST VALUE</v>
      </c>
      <c r="S719" t="str">
        <f t="shared" si="101"/>
        <v>Profit</v>
      </c>
      <c r="T719" t="str">
        <f t="shared" si="102"/>
        <v>Antonio Wood</v>
      </c>
      <c r="U719" t="str">
        <f t="shared" si="103"/>
        <v>Desk</v>
      </c>
      <c r="V719">
        <f t="shared" si="104"/>
        <v>2025</v>
      </c>
      <c r="W719">
        <f t="shared" si="105"/>
        <v>8</v>
      </c>
      <c r="X719">
        <f t="shared" si="106"/>
        <v>27</v>
      </c>
      <c r="Y719" t="str">
        <f t="shared" si="107"/>
        <v>Jul</v>
      </c>
      <c r="Z719">
        <f t="shared" si="108"/>
        <v>6</v>
      </c>
    </row>
    <row r="720" spans="1:26" ht="15.75" customHeight="1" x14ac:dyDescent="0.3">
      <c r="A720" s="2" t="s">
        <v>1710</v>
      </c>
      <c r="B720" s="2" t="s">
        <v>1711</v>
      </c>
      <c r="C720" s="2" t="s">
        <v>37</v>
      </c>
      <c r="D720" s="2" t="s">
        <v>19</v>
      </c>
      <c r="E720" s="2" t="s">
        <v>25</v>
      </c>
      <c r="F720" s="2">
        <v>6</v>
      </c>
      <c r="G720" s="2">
        <v>3030.71</v>
      </c>
      <c r="H720" s="2">
        <v>18184.259999999998</v>
      </c>
      <c r="I720" s="2">
        <v>14377.25</v>
      </c>
      <c r="J720" s="2">
        <v>3807.01</v>
      </c>
      <c r="K720" s="3">
        <v>45433</v>
      </c>
      <c r="L720" s="3">
        <v>45437</v>
      </c>
      <c r="M720" s="2" t="s">
        <v>50</v>
      </c>
      <c r="N720" s="2">
        <v>4</v>
      </c>
      <c r="O720" s="2" t="s">
        <v>1057</v>
      </c>
      <c r="P720" s="25">
        <v>6.7</v>
      </c>
      <c r="Q720" t="str">
        <f t="shared" si="100"/>
        <v>0719</v>
      </c>
      <c r="R720" t="str">
        <f>IF('RETAIL SALES DATA.'!H720&gt;AVERAGE('RETAIL SALES DATA.'!H720:H1719),"HIGHEST VALUE","LOWEST VALUE")</f>
        <v>LOWEST VALUE</v>
      </c>
      <c r="S720" t="str">
        <f t="shared" si="101"/>
        <v>Profit</v>
      </c>
      <c r="T720" t="str">
        <f t="shared" si="102"/>
        <v>Mark Alvarez</v>
      </c>
      <c r="U720" t="str">
        <f t="shared" si="103"/>
        <v>Marker</v>
      </c>
      <c r="V720">
        <f t="shared" si="104"/>
        <v>2024</v>
      </c>
      <c r="W720">
        <f t="shared" si="105"/>
        <v>5</v>
      </c>
      <c r="X720">
        <f t="shared" si="106"/>
        <v>21</v>
      </c>
      <c r="Y720" t="str">
        <f t="shared" si="107"/>
        <v>May</v>
      </c>
      <c r="Z720">
        <f t="shared" si="108"/>
        <v>4</v>
      </c>
    </row>
    <row r="721" spans="1:26" ht="15.75" customHeight="1" x14ac:dyDescent="0.3">
      <c r="A721" s="2" t="s">
        <v>1712</v>
      </c>
      <c r="B721" s="2" t="s">
        <v>1713</v>
      </c>
      <c r="C721" s="2" t="s">
        <v>30</v>
      </c>
      <c r="D721" s="2" t="s">
        <v>31</v>
      </c>
      <c r="E721" s="2" t="s">
        <v>44</v>
      </c>
      <c r="F721" s="2">
        <v>11</v>
      </c>
      <c r="G721" s="2">
        <v>723.18</v>
      </c>
      <c r="H721" s="2">
        <v>7954.98</v>
      </c>
      <c r="I721" s="2">
        <v>7109.04</v>
      </c>
      <c r="J721" s="2">
        <v>845.94</v>
      </c>
      <c r="K721" s="3">
        <v>45999</v>
      </c>
      <c r="L721" s="3">
        <v>46006</v>
      </c>
      <c r="M721" s="2" t="s">
        <v>181</v>
      </c>
      <c r="N721" s="2">
        <v>3</v>
      </c>
      <c r="O721" s="2" t="s">
        <v>1714</v>
      </c>
      <c r="P721" s="25">
        <v>6.8</v>
      </c>
      <c r="Q721" t="str">
        <f t="shared" si="100"/>
        <v>0720</v>
      </c>
      <c r="R721" t="str">
        <f>IF('RETAIL SALES DATA.'!H721&gt;AVERAGE('RETAIL SALES DATA.'!H721:H1720),"HIGHEST VALUE","LOWEST VALUE")</f>
        <v>LOWEST VALUE</v>
      </c>
      <c r="S721" t="str">
        <f t="shared" si="101"/>
        <v>Profit</v>
      </c>
      <c r="T721" t="str">
        <f t="shared" si="102"/>
        <v>Dennis Wright</v>
      </c>
      <c r="U721" t="str">
        <f t="shared" si="103"/>
        <v>Desk</v>
      </c>
      <c r="V721">
        <f t="shared" si="104"/>
        <v>2025</v>
      </c>
      <c r="W721">
        <f t="shared" si="105"/>
        <v>12</v>
      </c>
      <c r="X721">
        <f t="shared" si="106"/>
        <v>8</v>
      </c>
      <c r="Y721" t="str">
        <f t="shared" si="107"/>
        <v>Dec</v>
      </c>
      <c r="Z721">
        <f t="shared" si="108"/>
        <v>7</v>
      </c>
    </row>
    <row r="722" spans="1:26" ht="15.75" customHeight="1" x14ac:dyDescent="0.3">
      <c r="A722" s="2" t="s">
        <v>1715</v>
      </c>
      <c r="B722" s="2" t="s">
        <v>1716</v>
      </c>
      <c r="C722" s="2" t="s">
        <v>30</v>
      </c>
      <c r="D722" s="2" t="s">
        <v>31</v>
      </c>
      <c r="E722" s="2" t="s">
        <v>32</v>
      </c>
      <c r="F722" s="2">
        <v>15</v>
      </c>
      <c r="G722" s="2">
        <v>1381.36</v>
      </c>
      <c r="H722" s="2">
        <v>20720.400000000001</v>
      </c>
      <c r="I722" s="2">
        <v>12234.8</v>
      </c>
      <c r="J722" s="2">
        <v>8485.6</v>
      </c>
      <c r="K722" s="3">
        <v>45771</v>
      </c>
      <c r="L722" s="3">
        <v>45780</v>
      </c>
      <c r="M722" s="2" t="s">
        <v>38</v>
      </c>
      <c r="N722" s="2">
        <v>4</v>
      </c>
      <c r="O722" s="2" t="s">
        <v>235</v>
      </c>
      <c r="P722" s="25">
        <v>7.6</v>
      </c>
      <c r="Q722" t="str">
        <f t="shared" si="100"/>
        <v>0721</v>
      </c>
      <c r="R722" t="str">
        <f>IF('RETAIL SALES DATA.'!H722&gt;AVERAGE('RETAIL SALES DATA.'!H722:H1721),"HIGHEST VALUE","LOWEST VALUE")</f>
        <v>LOWEST VALUE</v>
      </c>
      <c r="S722" t="str">
        <f t="shared" si="101"/>
        <v>Profit</v>
      </c>
      <c r="T722" t="str">
        <f t="shared" si="102"/>
        <v>Mr. David Franco</v>
      </c>
      <c r="U722" t="str">
        <f t="shared" si="103"/>
        <v>Desk</v>
      </c>
      <c r="V722">
        <f t="shared" si="104"/>
        <v>2025</v>
      </c>
      <c r="W722">
        <f t="shared" si="105"/>
        <v>5</v>
      </c>
      <c r="X722">
        <f t="shared" si="106"/>
        <v>24</v>
      </c>
      <c r="Y722" t="str">
        <f t="shared" si="107"/>
        <v>Apr</v>
      </c>
      <c r="Z722">
        <f t="shared" si="108"/>
        <v>9</v>
      </c>
    </row>
    <row r="723" spans="1:26" ht="15.75" customHeight="1" x14ac:dyDescent="0.3">
      <c r="A723" s="2" t="s">
        <v>1717</v>
      </c>
      <c r="B723" s="2" t="s">
        <v>1718</v>
      </c>
      <c r="C723" s="2" t="s">
        <v>30</v>
      </c>
      <c r="D723" s="2" t="s">
        <v>31</v>
      </c>
      <c r="E723" s="2" t="s">
        <v>20</v>
      </c>
      <c r="F723" s="2">
        <v>11</v>
      </c>
      <c r="G723" s="2">
        <v>2022.66</v>
      </c>
      <c r="H723" s="2">
        <v>22249.26</v>
      </c>
      <c r="I723" s="2">
        <v>15625.61</v>
      </c>
      <c r="J723" s="2">
        <v>6623.65</v>
      </c>
      <c r="K723" s="3">
        <v>45594</v>
      </c>
      <c r="L723" s="3">
        <v>45600</v>
      </c>
      <c r="M723" s="2" t="s">
        <v>123</v>
      </c>
      <c r="N723" s="2">
        <v>3</v>
      </c>
      <c r="O723" s="2" t="s">
        <v>124</v>
      </c>
      <c r="P723" s="25">
        <v>7</v>
      </c>
      <c r="Q723" t="str">
        <f t="shared" si="100"/>
        <v>0722</v>
      </c>
      <c r="R723" t="str">
        <f>IF('RETAIL SALES DATA.'!H723&gt;AVERAGE('RETAIL SALES DATA.'!H723:H1722),"HIGHEST VALUE","LOWEST VALUE")</f>
        <v>LOWEST VALUE</v>
      </c>
      <c r="S723" t="str">
        <f t="shared" si="101"/>
        <v>Profit</v>
      </c>
      <c r="T723" t="str">
        <f t="shared" si="102"/>
        <v>Kevin Blair</v>
      </c>
      <c r="U723" t="str">
        <f t="shared" si="103"/>
        <v>Desk</v>
      </c>
      <c r="V723">
        <f t="shared" si="104"/>
        <v>2024</v>
      </c>
      <c r="W723">
        <f t="shared" si="105"/>
        <v>11</v>
      </c>
      <c r="X723">
        <f t="shared" si="106"/>
        <v>29</v>
      </c>
      <c r="Y723" t="str">
        <f t="shared" si="107"/>
        <v>Oct</v>
      </c>
      <c r="Z723">
        <f t="shared" si="108"/>
        <v>6</v>
      </c>
    </row>
    <row r="724" spans="1:26" ht="15.75" customHeight="1" x14ac:dyDescent="0.3">
      <c r="A724" s="2" t="s">
        <v>1719</v>
      </c>
      <c r="B724" s="2" t="s">
        <v>1720</v>
      </c>
      <c r="C724" s="2" t="s">
        <v>72</v>
      </c>
      <c r="D724" s="2" t="s">
        <v>31</v>
      </c>
      <c r="E724" s="2" t="s">
        <v>25</v>
      </c>
      <c r="F724" s="2">
        <v>4</v>
      </c>
      <c r="G724" s="2">
        <v>2796.09</v>
      </c>
      <c r="H724" s="2">
        <v>11184.36</v>
      </c>
      <c r="I724" s="2">
        <v>9510.14</v>
      </c>
      <c r="J724" s="2">
        <v>1674.22</v>
      </c>
      <c r="K724" s="3">
        <v>46161</v>
      </c>
      <c r="L724" s="3">
        <v>46162</v>
      </c>
      <c r="M724" s="2" t="s">
        <v>181</v>
      </c>
      <c r="N724" s="2">
        <v>4</v>
      </c>
      <c r="O724" s="2" t="s">
        <v>367</v>
      </c>
      <c r="P724" s="25">
        <v>7.7</v>
      </c>
      <c r="Q724" t="str">
        <f t="shared" si="100"/>
        <v>0723</v>
      </c>
      <c r="R724" t="str">
        <f>IF('RETAIL SALES DATA.'!H724&gt;AVERAGE('RETAIL SALES DATA.'!H724:H1723),"HIGHEST VALUE","LOWEST VALUE")</f>
        <v>LOWEST VALUE</v>
      </c>
      <c r="S724" t="str">
        <f t="shared" si="101"/>
        <v>Profit</v>
      </c>
      <c r="T724" t="str">
        <f t="shared" si="102"/>
        <v>Brittany Swanson Dds</v>
      </c>
      <c r="U724" t="str">
        <f t="shared" si="103"/>
        <v>Chair</v>
      </c>
      <c r="V724">
        <f t="shared" si="104"/>
        <v>2026</v>
      </c>
      <c r="W724">
        <f t="shared" si="105"/>
        <v>5</v>
      </c>
      <c r="X724">
        <f t="shared" si="106"/>
        <v>19</v>
      </c>
      <c r="Y724" t="str">
        <f t="shared" si="107"/>
        <v>May</v>
      </c>
      <c r="Z724">
        <f t="shared" si="108"/>
        <v>1</v>
      </c>
    </row>
    <row r="725" spans="1:26" ht="15.75" customHeight="1" x14ac:dyDescent="0.3">
      <c r="A725" s="2" t="s">
        <v>1721</v>
      </c>
      <c r="B725" s="2" t="s">
        <v>1722</v>
      </c>
      <c r="C725" s="2" t="s">
        <v>30</v>
      </c>
      <c r="D725" s="2" t="s">
        <v>31</v>
      </c>
      <c r="E725" s="2" t="s">
        <v>44</v>
      </c>
      <c r="F725" s="2">
        <v>3</v>
      </c>
      <c r="G725" s="2">
        <v>2613.41</v>
      </c>
      <c r="H725" s="2">
        <v>7840.23</v>
      </c>
      <c r="I725" s="2">
        <v>6813.13</v>
      </c>
      <c r="J725" s="2">
        <v>1027.0999999999999</v>
      </c>
      <c r="K725" s="3">
        <v>45488</v>
      </c>
      <c r="L725" s="3">
        <v>45491</v>
      </c>
      <c r="M725" s="2" t="s">
        <v>26</v>
      </c>
      <c r="N725" s="2">
        <v>5</v>
      </c>
      <c r="O725" s="2" t="s">
        <v>254</v>
      </c>
      <c r="P725" s="25">
        <v>9.5</v>
      </c>
      <c r="Q725" t="str">
        <f t="shared" si="100"/>
        <v>0724</v>
      </c>
      <c r="R725" t="str">
        <f>IF('RETAIL SALES DATA.'!H725&gt;AVERAGE('RETAIL SALES DATA.'!H725:H1724),"HIGHEST VALUE","LOWEST VALUE")</f>
        <v>LOWEST VALUE</v>
      </c>
      <c r="S725" t="str">
        <f t="shared" si="101"/>
        <v>Profit</v>
      </c>
      <c r="T725" t="str">
        <f t="shared" si="102"/>
        <v>Mandy Davis</v>
      </c>
      <c r="U725" t="str">
        <f t="shared" si="103"/>
        <v>Desk</v>
      </c>
      <c r="V725">
        <f t="shared" si="104"/>
        <v>2024</v>
      </c>
      <c r="W725">
        <f t="shared" si="105"/>
        <v>7</v>
      </c>
      <c r="X725">
        <f t="shared" si="106"/>
        <v>15</v>
      </c>
      <c r="Y725" t="str">
        <f t="shared" si="107"/>
        <v>Jul</v>
      </c>
      <c r="Z725">
        <f t="shared" si="108"/>
        <v>3</v>
      </c>
    </row>
    <row r="726" spans="1:26" ht="15.75" customHeight="1" x14ac:dyDescent="0.3">
      <c r="A726" s="2" t="s">
        <v>1723</v>
      </c>
      <c r="B726" s="2" t="s">
        <v>1724</v>
      </c>
      <c r="C726" s="2" t="s">
        <v>37</v>
      </c>
      <c r="D726" s="2" t="s">
        <v>19</v>
      </c>
      <c r="E726" s="2" t="s">
        <v>32</v>
      </c>
      <c r="F726" s="2">
        <v>19</v>
      </c>
      <c r="G726" s="2">
        <v>428.08</v>
      </c>
      <c r="H726" s="2">
        <v>8133.52</v>
      </c>
      <c r="I726" s="2">
        <v>5042.4399999999996</v>
      </c>
      <c r="J726" s="2">
        <v>3091.08</v>
      </c>
      <c r="K726" s="3">
        <v>46117</v>
      </c>
      <c r="L726" s="3">
        <v>46125</v>
      </c>
      <c r="M726" s="2" t="s">
        <v>181</v>
      </c>
      <c r="N726" s="2">
        <v>3</v>
      </c>
      <c r="O726" s="2" t="s">
        <v>383</v>
      </c>
      <c r="P726" s="25">
        <v>9.6999999999999993</v>
      </c>
      <c r="Q726" t="str">
        <f t="shared" si="100"/>
        <v>0725</v>
      </c>
      <c r="R726" t="str">
        <f>IF('RETAIL SALES DATA.'!H726&gt;AVERAGE('RETAIL SALES DATA.'!H726:H1725),"HIGHEST VALUE","LOWEST VALUE")</f>
        <v>LOWEST VALUE</v>
      </c>
      <c r="S726" t="str">
        <f t="shared" si="101"/>
        <v>Profit</v>
      </c>
      <c r="T726" t="str">
        <f t="shared" si="102"/>
        <v>Philip Kelley</v>
      </c>
      <c r="U726" t="str">
        <f t="shared" si="103"/>
        <v>Marker</v>
      </c>
      <c r="V726">
        <f t="shared" si="104"/>
        <v>2026</v>
      </c>
      <c r="W726">
        <f t="shared" si="105"/>
        <v>4</v>
      </c>
      <c r="X726">
        <f t="shared" si="106"/>
        <v>5</v>
      </c>
      <c r="Y726" t="str">
        <f t="shared" si="107"/>
        <v>Apr</v>
      </c>
      <c r="Z726">
        <f t="shared" si="108"/>
        <v>8</v>
      </c>
    </row>
    <row r="727" spans="1:26" ht="15.75" customHeight="1" x14ac:dyDescent="0.3">
      <c r="A727" s="2" t="s">
        <v>1725</v>
      </c>
      <c r="B727" s="2" t="s">
        <v>1726</v>
      </c>
      <c r="C727" s="2" t="s">
        <v>49</v>
      </c>
      <c r="D727" s="2" t="s">
        <v>43</v>
      </c>
      <c r="E727" s="2" t="s">
        <v>20</v>
      </c>
      <c r="F727" s="2">
        <v>4</v>
      </c>
      <c r="G727" s="2">
        <v>1290.1400000000001</v>
      </c>
      <c r="H727" s="2">
        <v>5160.5600000000004</v>
      </c>
      <c r="I727" s="2">
        <v>4022.33</v>
      </c>
      <c r="J727" s="2">
        <v>1138.23</v>
      </c>
      <c r="K727" s="3">
        <v>45766</v>
      </c>
      <c r="L727" s="3">
        <v>45769</v>
      </c>
      <c r="M727" s="2" t="s">
        <v>123</v>
      </c>
      <c r="N727" s="2">
        <v>2</v>
      </c>
      <c r="O727" s="2" t="s">
        <v>354</v>
      </c>
      <c r="P727" s="25">
        <v>9.1</v>
      </c>
      <c r="Q727" t="str">
        <f t="shared" si="100"/>
        <v>0726</v>
      </c>
      <c r="R727" t="str">
        <f>IF('RETAIL SALES DATA.'!H727&gt;AVERAGE('RETAIL SALES DATA.'!H727:H1726),"HIGHEST VALUE","LOWEST VALUE")</f>
        <v>LOWEST VALUE</v>
      </c>
      <c r="S727" t="str">
        <f t="shared" si="101"/>
        <v>Profit</v>
      </c>
      <c r="T727" t="str">
        <f t="shared" si="102"/>
        <v>Raymond Gonzalez</v>
      </c>
      <c r="U727" t="str">
        <f t="shared" si="103"/>
        <v>Mouse</v>
      </c>
      <c r="V727">
        <f t="shared" si="104"/>
        <v>2025</v>
      </c>
      <c r="W727">
        <f t="shared" si="105"/>
        <v>4</v>
      </c>
      <c r="X727">
        <f t="shared" si="106"/>
        <v>19</v>
      </c>
      <c r="Y727" t="str">
        <f t="shared" si="107"/>
        <v>Apr</v>
      </c>
      <c r="Z727">
        <f t="shared" si="108"/>
        <v>3</v>
      </c>
    </row>
    <row r="728" spans="1:26" ht="15.75" customHeight="1" x14ac:dyDescent="0.3">
      <c r="A728" s="2" t="s">
        <v>1727</v>
      </c>
      <c r="B728" s="2" t="s">
        <v>1728</v>
      </c>
      <c r="C728" s="2" t="s">
        <v>95</v>
      </c>
      <c r="D728" s="2" t="s">
        <v>19</v>
      </c>
      <c r="E728" s="2" t="s">
        <v>25</v>
      </c>
      <c r="F728" s="2">
        <v>7</v>
      </c>
      <c r="G728" s="2">
        <v>1658.09</v>
      </c>
      <c r="H728" s="2">
        <v>11606.63</v>
      </c>
      <c r="I728" s="2">
        <v>9391.32</v>
      </c>
      <c r="J728" s="2">
        <v>2215.31</v>
      </c>
      <c r="K728" s="3">
        <v>45576</v>
      </c>
      <c r="L728" s="3">
        <v>45579</v>
      </c>
      <c r="M728" s="2" t="s">
        <v>26</v>
      </c>
      <c r="N728" s="2">
        <v>4</v>
      </c>
      <c r="O728" s="2" t="s">
        <v>1729</v>
      </c>
      <c r="P728" s="25">
        <v>8.6999999999999993</v>
      </c>
      <c r="Q728" t="str">
        <f t="shared" si="100"/>
        <v>0727</v>
      </c>
      <c r="R728" t="str">
        <f>IF('RETAIL SALES DATA.'!H728&gt;AVERAGE('RETAIL SALES DATA.'!H728:H1727),"HIGHEST VALUE","LOWEST VALUE")</f>
        <v>LOWEST VALUE</v>
      </c>
      <c r="S728" t="str">
        <f t="shared" si="101"/>
        <v>Profit</v>
      </c>
      <c r="T728" t="str">
        <f t="shared" si="102"/>
        <v>Brenda Martin</v>
      </c>
      <c r="U728" t="str">
        <f t="shared" si="103"/>
        <v>Printer</v>
      </c>
      <c r="V728">
        <f t="shared" si="104"/>
        <v>2024</v>
      </c>
      <c r="W728">
        <f t="shared" si="105"/>
        <v>10</v>
      </c>
      <c r="X728">
        <f t="shared" si="106"/>
        <v>11</v>
      </c>
      <c r="Y728" t="str">
        <f t="shared" si="107"/>
        <v>Oct</v>
      </c>
      <c r="Z728">
        <f t="shared" si="108"/>
        <v>3</v>
      </c>
    </row>
    <row r="729" spans="1:26" ht="15.75" customHeight="1" x14ac:dyDescent="0.3">
      <c r="A729" s="2" t="s">
        <v>1730</v>
      </c>
      <c r="B729" s="2" t="s">
        <v>1731</v>
      </c>
      <c r="C729" s="2" t="s">
        <v>42</v>
      </c>
      <c r="D729" s="2" t="s">
        <v>43</v>
      </c>
      <c r="E729" s="2" t="s">
        <v>25</v>
      </c>
      <c r="F729" s="2">
        <v>7</v>
      </c>
      <c r="G729" s="2">
        <v>3561.13</v>
      </c>
      <c r="H729" s="2">
        <v>24927.91</v>
      </c>
      <c r="I729" s="2">
        <v>21009.71</v>
      </c>
      <c r="J729" s="2">
        <v>3918.2</v>
      </c>
      <c r="K729" s="3">
        <v>45937</v>
      </c>
      <c r="L729" s="3">
        <v>45947</v>
      </c>
      <c r="M729" s="2" t="s">
        <v>21</v>
      </c>
      <c r="N729" s="2">
        <v>1</v>
      </c>
      <c r="O729" s="2" t="s">
        <v>284</v>
      </c>
      <c r="P729" s="25">
        <v>7.7</v>
      </c>
      <c r="Q729" t="str">
        <f t="shared" si="100"/>
        <v>0728</v>
      </c>
      <c r="R729" t="str">
        <f>IF('RETAIL SALES DATA.'!H729&gt;AVERAGE('RETAIL SALES DATA.'!H729:H1728),"HIGHEST VALUE","LOWEST VALUE")</f>
        <v>LOWEST VALUE</v>
      </c>
      <c r="S729" t="str">
        <f t="shared" si="101"/>
        <v>Profit</v>
      </c>
      <c r="T729" t="str">
        <f t="shared" si="102"/>
        <v>Shannon Byrd</v>
      </c>
      <c r="U729" t="str">
        <f t="shared" si="103"/>
        <v>Laptop</v>
      </c>
      <c r="V729">
        <f t="shared" si="104"/>
        <v>2025</v>
      </c>
      <c r="W729">
        <f t="shared" si="105"/>
        <v>10</v>
      </c>
      <c r="X729">
        <f t="shared" si="106"/>
        <v>7</v>
      </c>
      <c r="Y729" t="str">
        <f t="shared" si="107"/>
        <v>Oct</v>
      </c>
      <c r="Z729">
        <f t="shared" si="108"/>
        <v>10</v>
      </c>
    </row>
    <row r="730" spans="1:26" ht="15.75" customHeight="1" x14ac:dyDescent="0.3">
      <c r="A730" s="2" t="s">
        <v>1732</v>
      </c>
      <c r="B730" s="2" t="s">
        <v>1733</v>
      </c>
      <c r="C730" s="2" t="s">
        <v>168</v>
      </c>
      <c r="D730" s="2" t="s">
        <v>43</v>
      </c>
      <c r="E730" s="2" t="s">
        <v>20</v>
      </c>
      <c r="F730" s="2">
        <v>12</v>
      </c>
      <c r="G730" s="2">
        <v>3263.3</v>
      </c>
      <c r="H730" s="2">
        <v>39159.599999999999</v>
      </c>
      <c r="I730" s="2">
        <v>33778.51</v>
      </c>
      <c r="J730" s="2">
        <v>5381.09</v>
      </c>
      <c r="K730" s="3">
        <v>45664</v>
      </c>
      <c r="L730" s="3">
        <v>45667</v>
      </c>
      <c r="M730" s="2" t="s">
        <v>33</v>
      </c>
      <c r="N730" s="2">
        <v>5</v>
      </c>
      <c r="O730" s="2" t="s">
        <v>799</v>
      </c>
      <c r="P730" s="25">
        <v>7.8</v>
      </c>
      <c r="Q730" t="str">
        <f t="shared" si="100"/>
        <v>0729</v>
      </c>
      <c r="R730" t="str">
        <f>IF('RETAIL SALES DATA.'!H730&gt;AVERAGE('RETAIL SALES DATA.'!H730:H1729),"HIGHEST VALUE","LOWEST VALUE")</f>
        <v>HIGHEST VALUE</v>
      </c>
      <c r="S730" t="str">
        <f t="shared" si="101"/>
        <v>Profit</v>
      </c>
      <c r="T730" t="str">
        <f t="shared" si="102"/>
        <v>Crystal Horn</v>
      </c>
      <c r="U730" t="str">
        <f t="shared" si="103"/>
        <v>Keyboard</v>
      </c>
      <c r="V730">
        <f t="shared" si="104"/>
        <v>2025</v>
      </c>
      <c r="W730">
        <f t="shared" si="105"/>
        <v>1</v>
      </c>
      <c r="X730">
        <f t="shared" si="106"/>
        <v>7</v>
      </c>
      <c r="Y730" t="str">
        <f t="shared" si="107"/>
        <v>Jan</v>
      </c>
      <c r="Z730">
        <f t="shared" si="108"/>
        <v>3</v>
      </c>
    </row>
    <row r="731" spans="1:26" ht="15.75" customHeight="1" x14ac:dyDescent="0.3">
      <c r="A731" s="2" t="s">
        <v>1734</v>
      </c>
      <c r="B731" s="2" t="s">
        <v>1735</v>
      </c>
      <c r="C731" s="2" t="s">
        <v>57</v>
      </c>
      <c r="D731" s="2" t="s">
        <v>19</v>
      </c>
      <c r="E731" s="2" t="s">
        <v>20</v>
      </c>
      <c r="F731" s="2">
        <v>14</v>
      </c>
      <c r="G731" s="2">
        <v>764.42</v>
      </c>
      <c r="H731" s="2">
        <v>10701.88</v>
      </c>
      <c r="I731" s="2">
        <v>9156.7800000000007</v>
      </c>
      <c r="J731" s="2">
        <v>1545.1</v>
      </c>
      <c r="K731" s="3">
        <v>45836</v>
      </c>
      <c r="L731" s="3">
        <v>45839</v>
      </c>
      <c r="M731" s="2" t="s">
        <v>181</v>
      </c>
      <c r="N731" s="2">
        <v>2</v>
      </c>
      <c r="O731" s="2" t="s">
        <v>475</v>
      </c>
      <c r="P731" s="25">
        <v>8.1999999999999993</v>
      </c>
      <c r="Q731" t="str">
        <f t="shared" si="100"/>
        <v>0730</v>
      </c>
      <c r="R731" t="str">
        <f>IF('RETAIL SALES DATA.'!H731&gt;AVERAGE('RETAIL SALES DATA.'!H731:H1730),"HIGHEST VALUE","LOWEST VALUE")</f>
        <v>LOWEST VALUE</v>
      </c>
      <c r="S731" t="str">
        <f t="shared" si="101"/>
        <v>Profit</v>
      </c>
      <c r="T731" t="str">
        <f t="shared" si="102"/>
        <v>Brett Roberts</v>
      </c>
      <c r="U731" t="str">
        <f t="shared" si="103"/>
        <v>Notebook</v>
      </c>
      <c r="V731">
        <f t="shared" si="104"/>
        <v>2025</v>
      </c>
      <c r="W731">
        <f t="shared" si="105"/>
        <v>7</v>
      </c>
      <c r="X731">
        <f t="shared" si="106"/>
        <v>28</v>
      </c>
      <c r="Y731" t="str">
        <f t="shared" si="107"/>
        <v>Jun</v>
      </c>
      <c r="Z731">
        <f t="shared" si="108"/>
        <v>3</v>
      </c>
    </row>
    <row r="732" spans="1:26" ht="15.75" customHeight="1" x14ac:dyDescent="0.3">
      <c r="A732" s="2" t="s">
        <v>1736</v>
      </c>
      <c r="B732" s="2" t="s">
        <v>1737</v>
      </c>
      <c r="C732" s="2" t="s">
        <v>37</v>
      </c>
      <c r="D732" s="2" t="s">
        <v>19</v>
      </c>
      <c r="E732" s="2" t="s">
        <v>20</v>
      </c>
      <c r="F732" s="2">
        <v>7</v>
      </c>
      <c r="G732" s="2">
        <v>3385.78</v>
      </c>
      <c r="H732" s="2">
        <v>23700.46</v>
      </c>
      <c r="I732" s="2">
        <v>19447.37</v>
      </c>
      <c r="J732" s="2">
        <v>4253.09</v>
      </c>
      <c r="K732" s="3">
        <v>45905</v>
      </c>
      <c r="L732" s="3">
        <v>45914</v>
      </c>
      <c r="M732" s="2" t="s">
        <v>123</v>
      </c>
      <c r="N732" s="2">
        <v>1</v>
      </c>
      <c r="O732" s="2" t="s">
        <v>541</v>
      </c>
      <c r="P732" s="25">
        <v>8.8000000000000007</v>
      </c>
      <c r="Q732" t="str">
        <f t="shared" si="100"/>
        <v>0731</v>
      </c>
      <c r="R732" t="str">
        <f>IF('RETAIL SALES DATA.'!H732&gt;AVERAGE('RETAIL SALES DATA.'!H732:H1731),"HIGHEST VALUE","LOWEST VALUE")</f>
        <v>LOWEST VALUE</v>
      </c>
      <c r="S732" t="str">
        <f t="shared" si="101"/>
        <v>Profit</v>
      </c>
      <c r="T732" t="str">
        <f t="shared" si="102"/>
        <v>Sarah Nelson</v>
      </c>
      <c r="U732" t="str">
        <f t="shared" si="103"/>
        <v>Marker</v>
      </c>
      <c r="V732">
        <f t="shared" si="104"/>
        <v>2025</v>
      </c>
      <c r="W732">
        <f t="shared" si="105"/>
        <v>9</v>
      </c>
      <c r="X732">
        <f t="shared" si="106"/>
        <v>5</v>
      </c>
      <c r="Y732" t="str">
        <f t="shared" si="107"/>
        <v>Sep</v>
      </c>
      <c r="Z732">
        <f t="shared" si="108"/>
        <v>9</v>
      </c>
    </row>
    <row r="733" spans="1:26" ht="15.75" customHeight="1" x14ac:dyDescent="0.3">
      <c r="A733" s="2" t="s">
        <v>1738</v>
      </c>
      <c r="B733" s="2" t="s">
        <v>1739</v>
      </c>
      <c r="C733" s="2" t="s">
        <v>95</v>
      </c>
      <c r="D733" s="2" t="s">
        <v>19</v>
      </c>
      <c r="E733" s="2" t="s">
        <v>20</v>
      </c>
      <c r="F733" s="2">
        <v>6</v>
      </c>
      <c r="G733" s="2">
        <v>3607.59</v>
      </c>
      <c r="H733" s="2">
        <v>21645.54</v>
      </c>
      <c r="I733" s="2">
        <v>12255.72</v>
      </c>
      <c r="J733" s="2">
        <v>9389.82</v>
      </c>
      <c r="K733" s="3">
        <v>45828</v>
      </c>
      <c r="L733" s="3">
        <v>45838</v>
      </c>
      <c r="M733" s="2" t="s">
        <v>38</v>
      </c>
      <c r="N733" s="2">
        <v>4</v>
      </c>
      <c r="O733" s="2" t="s">
        <v>1740</v>
      </c>
      <c r="P733" s="25">
        <v>8.1</v>
      </c>
      <c r="Q733" t="str">
        <f t="shared" si="100"/>
        <v>0732</v>
      </c>
      <c r="R733" t="str">
        <f>IF('RETAIL SALES DATA.'!H733&gt;AVERAGE('RETAIL SALES DATA.'!H733:H1732),"HIGHEST VALUE","LOWEST VALUE")</f>
        <v>LOWEST VALUE</v>
      </c>
      <c r="S733" t="str">
        <f t="shared" si="101"/>
        <v>Profit</v>
      </c>
      <c r="T733" t="str">
        <f t="shared" si="102"/>
        <v>Stephanie Murphy</v>
      </c>
      <c r="U733" t="str">
        <f t="shared" si="103"/>
        <v>Printer</v>
      </c>
      <c r="V733">
        <f t="shared" si="104"/>
        <v>2025</v>
      </c>
      <c r="W733">
        <f t="shared" si="105"/>
        <v>6</v>
      </c>
      <c r="X733">
        <f t="shared" si="106"/>
        <v>20</v>
      </c>
      <c r="Y733" t="str">
        <f t="shared" si="107"/>
        <v>Jun</v>
      </c>
      <c r="Z733">
        <f t="shared" si="108"/>
        <v>10</v>
      </c>
    </row>
    <row r="734" spans="1:26" ht="15.75" customHeight="1" x14ac:dyDescent="0.3">
      <c r="A734" s="2" t="s">
        <v>1741</v>
      </c>
      <c r="B734" s="2" t="s">
        <v>1742</v>
      </c>
      <c r="C734" s="2" t="s">
        <v>168</v>
      </c>
      <c r="D734" s="2" t="s">
        <v>43</v>
      </c>
      <c r="E734" s="2" t="s">
        <v>25</v>
      </c>
      <c r="F734" s="2">
        <v>5</v>
      </c>
      <c r="G734" s="2">
        <v>2311.88</v>
      </c>
      <c r="H734" s="2">
        <v>11559.4</v>
      </c>
      <c r="I734" s="2">
        <v>7899.39</v>
      </c>
      <c r="J734" s="2">
        <v>3660.01</v>
      </c>
      <c r="K734" s="3">
        <v>45870</v>
      </c>
      <c r="L734" s="3">
        <v>45874</v>
      </c>
      <c r="M734" s="2" t="s">
        <v>58</v>
      </c>
      <c r="N734" s="2">
        <v>4</v>
      </c>
      <c r="O734" s="2" t="s">
        <v>1086</v>
      </c>
      <c r="P734" s="25">
        <v>7.9</v>
      </c>
      <c r="Q734" t="str">
        <f t="shared" si="100"/>
        <v>0733</v>
      </c>
      <c r="R734" t="str">
        <f>IF('RETAIL SALES DATA.'!H734&gt;AVERAGE('RETAIL SALES DATA.'!H734:H1733),"HIGHEST VALUE","LOWEST VALUE")</f>
        <v>LOWEST VALUE</v>
      </c>
      <c r="S734" t="str">
        <f t="shared" si="101"/>
        <v>Profit</v>
      </c>
      <c r="T734" t="str">
        <f t="shared" si="102"/>
        <v>Veronica Morales</v>
      </c>
      <c r="U734" t="str">
        <f t="shared" si="103"/>
        <v>Keyboard</v>
      </c>
      <c r="V734">
        <f t="shared" si="104"/>
        <v>2025</v>
      </c>
      <c r="W734">
        <f t="shared" si="105"/>
        <v>8</v>
      </c>
      <c r="X734">
        <f t="shared" si="106"/>
        <v>1</v>
      </c>
      <c r="Y734" t="str">
        <f t="shared" si="107"/>
        <v>Aug</v>
      </c>
      <c r="Z734">
        <f t="shared" si="108"/>
        <v>4</v>
      </c>
    </row>
    <row r="735" spans="1:26" ht="15.75" customHeight="1" x14ac:dyDescent="0.3">
      <c r="A735" s="2" t="s">
        <v>1743</v>
      </c>
      <c r="B735" s="2" t="s">
        <v>1744</v>
      </c>
      <c r="C735" s="2" t="s">
        <v>42</v>
      </c>
      <c r="D735" s="2" t="s">
        <v>43</v>
      </c>
      <c r="E735" s="2" t="s">
        <v>20</v>
      </c>
      <c r="F735" s="2">
        <v>3</v>
      </c>
      <c r="G735" s="2">
        <v>3793.62</v>
      </c>
      <c r="H735" s="2">
        <v>11380.86</v>
      </c>
      <c r="I735" s="2">
        <v>7421.8</v>
      </c>
      <c r="J735" s="2">
        <v>3959.06</v>
      </c>
      <c r="K735" s="3">
        <v>45984</v>
      </c>
      <c r="L735" s="3">
        <v>45985</v>
      </c>
      <c r="M735" s="2" t="s">
        <v>58</v>
      </c>
      <c r="N735" s="2">
        <v>2</v>
      </c>
      <c r="O735" s="2" t="s">
        <v>105</v>
      </c>
      <c r="P735" s="25">
        <v>6.8</v>
      </c>
      <c r="Q735" t="str">
        <f t="shared" si="100"/>
        <v>0734</v>
      </c>
      <c r="R735" t="str">
        <f>IF('RETAIL SALES DATA.'!H735&gt;AVERAGE('RETAIL SALES DATA.'!H735:H1734),"HIGHEST VALUE","LOWEST VALUE")</f>
        <v>LOWEST VALUE</v>
      </c>
      <c r="S735" t="str">
        <f t="shared" si="101"/>
        <v>Profit</v>
      </c>
      <c r="T735" t="str">
        <f t="shared" si="102"/>
        <v>Alexander Johnson</v>
      </c>
      <c r="U735" t="str">
        <f t="shared" si="103"/>
        <v>Laptop</v>
      </c>
      <c r="V735">
        <f t="shared" si="104"/>
        <v>2025</v>
      </c>
      <c r="W735">
        <f t="shared" si="105"/>
        <v>11</v>
      </c>
      <c r="X735">
        <f t="shared" si="106"/>
        <v>23</v>
      </c>
      <c r="Y735" t="str">
        <f t="shared" si="107"/>
        <v>Nov</v>
      </c>
      <c r="Z735">
        <f t="shared" si="108"/>
        <v>1</v>
      </c>
    </row>
    <row r="736" spans="1:26" ht="15.75" customHeight="1" x14ac:dyDescent="0.3">
      <c r="A736" s="2" t="s">
        <v>1745</v>
      </c>
      <c r="B736" s="2" t="s">
        <v>1746</v>
      </c>
      <c r="C736" s="2" t="s">
        <v>62</v>
      </c>
      <c r="D736" s="2" t="s">
        <v>31</v>
      </c>
      <c r="E736" s="2" t="s">
        <v>32</v>
      </c>
      <c r="F736" s="2">
        <v>4</v>
      </c>
      <c r="G736" s="2">
        <v>361.69</v>
      </c>
      <c r="H736" s="2">
        <v>1446.76</v>
      </c>
      <c r="I736" s="2">
        <v>1287.81</v>
      </c>
      <c r="J736" s="2">
        <v>158.94999999999999</v>
      </c>
      <c r="K736" s="3">
        <v>45649</v>
      </c>
      <c r="L736" s="3">
        <v>45659</v>
      </c>
      <c r="M736" s="2" t="s">
        <v>21</v>
      </c>
      <c r="N736" s="2">
        <v>2</v>
      </c>
      <c r="O736" s="2" t="s">
        <v>918</v>
      </c>
      <c r="P736" s="25">
        <v>8.1</v>
      </c>
      <c r="Q736" t="str">
        <f t="shared" si="100"/>
        <v>0735</v>
      </c>
      <c r="R736" t="str">
        <f>IF('RETAIL SALES DATA.'!H736&gt;AVERAGE('RETAIL SALES DATA.'!H736:H1735),"HIGHEST VALUE","LOWEST VALUE")</f>
        <v>LOWEST VALUE</v>
      </c>
      <c r="S736" t="str">
        <f t="shared" si="101"/>
        <v>Profit</v>
      </c>
      <c r="T736" t="str">
        <f t="shared" si="102"/>
        <v>Frank Weiss</v>
      </c>
      <c r="U736" t="str">
        <f t="shared" si="103"/>
        <v>Table</v>
      </c>
      <c r="V736">
        <f t="shared" si="104"/>
        <v>2024</v>
      </c>
      <c r="W736">
        <f t="shared" si="105"/>
        <v>1</v>
      </c>
      <c r="X736">
        <f t="shared" si="106"/>
        <v>23</v>
      </c>
      <c r="Y736" t="str">
        <f t="shared" si="107"/>
        <v>Dec</v>
      </c>
      <c r="Z736">
        <f t="shared" si="108"/>
        <v>10</v>
      </c>
    </row>
    <row r="737" spans="1:26" ht="15.75" customHeight="1" x14ac:dyDescent="0.3">
      <c r="A737" s="2" t="s">
        <v>1747</v>
      </c>
      <c r="B737" s="2" t="s">
        <v>1748</v>
      </c>
      <c r="C737" s="2" t="s">
        <v>72</v>
      </c>
      <c r="D737" s="2" t="s">
        <v>31</v>
      </c>
      <c r="E737" s="2" t="s">
        <v>25</v>
      </c>
      <c r="F737" s="2">
        <v>8</v>
      </c>
      <c r="G737" s="2">
        <v>1296.22</v>
      </c>
      <c r="H737" s="2">
        <v>10369.76</v>
      </c>
      <c r="I737" s="2">
        <v>6932.82</v>
      </c>
      <c r="J737" s="2">
        <v>3436.94</v>
      </c>
      <c r="K737" s="3">
        <v>46042</v>
      </c>
      <c r="L737" s="3">
        <v>46045</v>
      </c>
      <c r="M737" s="2" t="s">
        <v>33</v>
      </c>
      <c r="N737" s="2">
        <v>2</v>
      </c>
      <c r="O737" s="2" t="s">
        <v>184</v>
      </c>
      <c r="P737" s="25">
        <v>8.1999999999999993</v>
      </c>
      <c r="Q737" t="str">
        <f t="shared" si="100"/>
        <v>0736</v>
      </c>
      <c r="R737" t="str">
        <f>IF('RETAIL SALES DATA.'!H737&gt;AVERAGE('RETAIL SALES DATA.'!H737:H1736),"HIGHEST VALUE","LOWEST VALUE")</f>
        <v>LOWEST VALUE</v>
      </c>
      <c r="S737" t="str">
        <f t="shared" si="101"/>
        <v>Profit</v>
      </c>
      <c r="T737" t="str">
        <f t="shared" si="102"/>
        <v>Tony Jennings</v>
      </c>
      <c r="U737" t="str">
        <f t="shared" si="103"/>
        <v>Chair</v>
      </c>
      <c r="V737">
        <f t="shared" si="104"/>
        <v>2026</v>
      </c>
      <c r="W737">
        <f t="shared" si="105"/>
        <v>1</v>
      </c>
      <c r="X737">
        <f t="shared" si="106"/>
        <v>20</v>
      </c>
      <c r="Y737" t="str">
        <f t="shared" si="107"/>
        <v>Jan</v>
      </c>
      <c r="Z737">
        <f t="shared" si="108"/>
        <v>3</v>
      </c>
    </row>
    <row r="738" spans="1:26" ht="15.75" customHeight="1" x14ac:dyDescent="0.3">
      <c r="A738" s="2" t="s">
        <v>1749</v>
      </c>
      <c r="B738" s="2" t="s">
        <v>1750</v>
      </c>
      <c r="C738" s="2" t="s">
        <v>88</v>
      </c>
      <c r="D738" s="2" t="s">
        <v>31</v>
      </c>
      <c r="E738" s="2" t="s">
        <v>25</v>
      </c>
      <c r="F738" s="2">
        <v>2</v>
      </c>
      <c r="G738" s="2">
        <v>2498.66</v>
      </c>
      <c r="H738" s="2">
        <v>4997.32</v>
      </c>
      <c r="I738" s="2">
        <v>3948.1</v>
      </c>
      <c r="J738" s="2">
        <v>1049.22</v>
      </c>
      <c r="K738" s="3">
        <v>45440</v>
      </c>
      <c r="L738" s="3">
        <v>45449</v>
      </c>
      <c r="M738" s="2" t="s">
        <v>181</v>
      </c>
      <c r="N738" s="2">
        <v>1</v>
      </c>
      <c r="O738" s="2" t="s">
        <v>59</v>
      </c>
      <c r="P738" s="25">
        <v>8.6</v>
      </c>
      <c r="Q738" t="str">
        <f t="shared" si="100"/>
        <v>0737</v>
      </c>
      <c r="R738" t="str">
        <f>IF('RETAIL SALES DATA.'!H738&gt;AVERAGE('RETAIL SALES DATA.'!H738:H1737),"HIGHEST VALUE","LOWEST VALUE")</f>
        <v>LOWEST VALUE</v>
      </c>
      <c r="S738" t="str">
        <f t="shared" si="101"/>
        <v>Profit</v>
      </c>
      <c r="T738" t="str">
        <f t="shared" si="102"/>
        <v>Robert Brown</v>
      </c>
      <c r="U738" t="str">
        <f t="shared" si="103"/>
        <v>Cupboard</v>
      </c>
      <c r="V738">
        <f t="shared" si="104"/>
        <v>2024</v>
      </c>
      <c r="W738">
        <f t="shared" si="105"/>
        <v>6</v>
      </c>
      <c r="X738">
        <f t="shared" si="106"/>
        <v>28</v>
      </c>
      <c r="Y738" t="str">
        <f t="shared" si="107"/>
        <v>May</v>
      </c>
      <c r="Z738">
        <f t="shared" si="108"/>
        <v>9</v>
      </c>
    </row>
    <row r="739" spans="1:26" ht="15.75" customHeight="1" x14ac:dyDescent="0.3">
      <c r="A739" s="2" t="s">
        <v>1751</v>
      </c>
      <c r="B739" s="2" t="s">
        <v>1752</v>
      </c>
      <c r="C739" s="2" t="s">
        <v>144</v>
      </c>
      <c r="D739" s="2" t="s">
        <v>19</v>
      </c>
      <c r="E739" s="2" t="s">
        <v>20</v>
      </c>
      <c r="F739" s="2">
        <v>17</v>
      </c>
      <c r="G739" s="2">
        <v>690.63</v>
      </c>
      <c r="H739" s="2">
        <v>11740.71</v>
      </c>
      <c r="I739" s="2">
        <v>8592.89</v>
      </c>
      <c r="J739" s="2">
        <v>3147.82</v>
      </c>
      <c r="K739" s="3">
        <v>45448</v>
      </c>
      <c r="L739" s="3">
        <v>45457</v>
      </c>
      <c r="M739" s="2" t="s">
        <v>58</v>
      </c>
      <c r="N739" s="2">
        <v>1</v>
      </c>
      <c r="O739" s="2" t="s">
        <v>172</v>
      </c>
      <c r="P739" s="25">
        <v>8.9</v>
      </c>
      <c r="Q739" t="str">
        <f t="shared" si="100"/>
        <v>0738</v>
      </c>
      <c r="R739" t="str">
        <f>IF('RETAIL SALES DATA.'!H739&gt;AVERAGE('RETAIL SALES DATA.'!H739:H1738),"HIGHEST VALUE","LOWEST VALUE")</f>
        <v>LOWEST VALUE</v>
      </c>
      <c r="S739" t="str">
        <f t="shared" si="101"/>
        <v>Profit</v>
      </c>
      <c r="T739" t="str">
        <f t="shared" si="102"/>
        <v>Dana Woods</v>
      </c>
      <c r="U739" t="str">
        <f t="shared" si="103"/>
        <v>File</v>
      </c>
      <c r="V739">
        <f t="shared" si="104"/>
        <v>2024</v>
      </c>
      <c r="W739">
        <f t="shared" si="105"/>
        <v>6</v>
      </c>
      <c r="X739">
        <f t="shared" si="106"/>
        <v>5</v>
      </c>
      <c r="Y739" t="str">
        <f t="shared" si="107"/>
        <v>Jun</v>
      </c>
      <c r="Z739">
        <f t="shared" si="108"/>
        <v>9</v>
      </c>
    </row>
    <row r="740" spans="1:26" ht="15.75" customHeight="1" x14ac:dyDescent="0.3">
      <c r="A740" s="2" t="s">
        <v>1753</v>
      </c>
      <c r="B740" s="2" t="s">
        <v>1754</v>
      </c>
      <c r="C740" s="2" t="s">
        <v>72</v>
      </c>
      <c r="D740" s="2" t="s">
        <v>31</v>
      </c>
      <c r="E740" s="2" t="s">
        <v>20</v>
      </c>
      <c r="F740" s="2">
        <v>12</v>
      </c>
      <c r="G740" s="2">
        <v>1970.55</v>
      </c>
      <c r="H740" s="2">
        <v>23646.6</v>
      </c>
      <c r="I740" s="2">
        <v>18747.41</v>
      </c>
      <c r="J740" s="2">
        <v>4899.1899999999996</v>
      </c>
      <c r="K740" s="3">
        <v>45998</v>
      </c>
      <c r="L740" s="3">
        <v>46008</v>
      </c>
      <c r="M740" s="2" t="s">
        <v>123</v>
      </c>
      <c r="N740" s="2">
        <v>2</v>
      </c>
      <c r="O740" s="2" t="s">
        <v>881</v>
      </c>
      <c r="P740" s="25">
        <v>6.5</v>
      </c>
      <c r="Q740" t="str">
        <f t="shared" si="100"/>
        <v>0739</v>
      </c>
      <c r="R740" t="str">
        <f>IF('RETAIL SALES DATA.'!H740&gt;AVERAGE('RETAIL SALES DATA.'!H740:H1739),"HIGHEST VALUE","LOWEST VALUE")</f>
        <v>LOWEST VALUE</v>
      </c>
      <c r="S740" t="str">
        <f t="shared" si="101"/>
        <v>Profit</v>
      </c>
      <c r="T740" t="str">
        <f t="shared" si="102"/>
        <v>Kelly Vargas</v>
      </c>
      <c r="U740" t="str">
        <f t="shared" si="103"/>
        <v>Chair</v>
      </c>
      <c r="V740">
        <f t="shared" si="104"/>
        <v>2025</v>
      </c>
      <c r="W740">
        <f t="shared" si="105"/>
        <v>12</v>
      </c>
      <c r="X740">
        <f t="shared" si="106"/>
        <v>7</v>
      </c>
      <c r="Y740" t="str">
        <f t="shared" si="107"/>
        <v>Dec</v>
      </c>
      <c r="Z740">
        <f t="shared" si="108"/>
        <v>10</v>
      </c>
    </row>
    <row r="741" spans="1:26" ht="15.75" customHeight="1" x14ac:dyDescent="0.3">
      <c r="A741" s="2" t="s">
        <v>1755</v>
      </c>
      <c r="B741" s="2" t="s">
        <v>1756</v>
      </c>
      <c r="C741" s="2" t="s">
        <v>195</v>
      </c>
      <c r="D741" s="2" t="s">
        <v>43</v>
      </c>
      <c r="E741" s="2" t="s">
        <v>25</v>
      </c>
      <c r="F741" s="2">
        <v>12</v>
      </c>
      <c r="G741" s="2">
        <v>146.72</v>
      </c>
      <c r="H741" s="2">
        <v>1760.64</v>
      </c>
      <c r="I741" s="2">
        <v>1093.04</v>
      </c>
      <c r="J741" s="2">
        <v>667.6</v>
      </c>
      <c r="K741" s="3">
        <v>46118</v>
      </c>
      <c r="L741" s="3">
        <v>46126</v>
      </c>
      <c r="M741" s="2" t="s">
        <v>69</v>
      </c>
      <c r="N741" s="2">
        <v>2</v>
      </c>
      <c r="O741" s="2" t="s">
        <v>802</v>
      </c>
      <c r="P741" s="25">
        <v>8.1</v>
      </c>
      <c r="Q741" t="str">
        <f t="shared" si="100"/>
        <v>0740</v>
      </c>
      <c r="R741" t="str">
        <f>IF('RETAIL SALES DATA.'!H741&gt;AVERAGE('RETAIL SALES DATA.'!H741:H1740),"HIGHEST VALUE","LOWEST VALUE")</f>
        <v>LOWEST VALUE</v>
      </c>
      <c r="S741" t="str">
        <f t="shared" si="101"/>
        <v>Profit</v>
      </c>
      <c r="T741" t="str">
        <f t="shared" si="102"/>
        <v>Roy Jackson</v>
      </c>
      <c r="U741" t="str">
        <f t="shared" si="103"/>
        <v>Monitor</v>
      </c>
      <c r="V741">
        <f t="shared" si="104"/>
        <v>2026</v>
      </c>
      <c r="W741">
        <f t="shared" si="105"/>
        <v>4</v>
      </c>
      <c r="X741">
        <f t="shared" si="106"/>
        <v>6</v>
      </c>
      <c r="Y741" t="str">
        <f t="shared" si="107"/>
        <v>Apr</v>
      </c>
      <c r="Z741">
        <f t="shared" si="108"/>
        <v>8</v>
      </c>
    </row>
    <row r="742" spans="1:26" ht="15.75" customHeight="1" x14ac:dyDescent="0.3">
      <c r="A742" s="2" t="s">
        <v>1757</v>
      </c>
      <c r="B742" s="2" t="s">
        <v>1758</v>
      </c>
      <c r="C742" s="2" t="s">
        <v>49</v>
      </c>
      <c r="D742" s="2" t="s">
        <v>43</v>
      </c>
      <c r="E742" s="2" t="s">
        <v>44</v>
      </c>
      <c r="F742" s="2">
        <v>1</v>
      </c>
      <c r="G742" s="2">
        <v>84.04</v>
      </c>
      <c r="H742" s="2">
        <v>84.04</v>
      </c>
      <c r="I742" s="2">
        <v>66.59</v>
      </c>
      <c r="J742" s="2">
        <v>17.45</v>
      </c>
      <c r="K742" s="3">
        <v>45804</v>
      </c>
      <c r="L742" s="3">
        <v>45806</v>
      </c>
      <c r="M742" s="2" t="s">
        <v>45</v>
      </c>
      <c r="N742" s="2">
        <v>1</v>
      </c>
      <c r="O742" s="2" t="s">
        <v>767</v>
      </c>
      <c r="P742" s="25">
        <v>9.3000000000000007</v>
      </c>
      <c r="Q742" t="str">
        <f t="shared" si="100"/>
        <v>0741</v>
      </c>
      <c r="R742" t="str">
        <f>IF('RETAIL SALES DATA.'!H742&gt;AVERAGE('RETAIL SALES DATA.'!H742:H1741),"HIGHEST VALUE","LOWEST VALUE")</f>
        <v>LOWEST VALUE</v>
      </c>
      <c r="S742" t="str">
        <f t="shared" si="101"/>
        <v>Profit</v>
      </c>
      <c r="T742" t="str">
        <f t="shared" si="102"/>
        <v>Troy Hernandez</v>
      </c>
      <c r="U742" t="str">
        <f t="shared" si="103"/>
        <v>Mouse</v>
      </c>
      <c r="V742">
        <f t="shared" si="104"/>
        <v>2025</v>
      </c>
      <c r="W742">
        <f t="shared" si="105"/>
        <v>5</v>
      </c>
      <c r="X742">
        <f t="shared" si="106"/>
        <v>27</v>
      </c>
      <c r="Y742" t="str">
        <f t="shared" si="107"/>
        <v>May</v>
      </c>
      <c r="Z742">
        <f t="shared" si="108"/>
        <v>2</v>
      </c>
    </row>
    <row r="743" spans="1:26" ht="15.75" customHeight="1" x14ac:dyDescent="0.3">
      <c r="A743" s="2" t="s">
        <v>1759</v>
      </c>
      <c r="B743" s="2" t="s">
        <v>1760</v>
      </c>
      <c r="C743" s="2" t="s">
        <v>72</v>
      </c>
      <c r="D743" s="2" t="s">
        <v>31</v>
      </c>
      <c r="E743" s="2" t="s">
        <v>20</v>
      </c>
      <c r="F743" s="2">
        <v>4</v>
      </c>
      <c r="G743" s="2">
        <v>294.77999999999997</v>
      </c>
      <c r="H743" s="2">
        <v>1179.1199999999999</v>
      </c>
      <c r="I743" s="2">
        <v>919.64</v>
      </c>
      <c r="J743" s="2">
        <v>259.48</v>
      </c>
      <c r="K743" s="3">
        <v>46128</v>
      </c>
      <c r="L743" s="3">
        <v>46137</v>
      </c>
      <c r="M743" s="2" t="s">
        <v>38</v>
      </c>
      <c r="N743" s="2">
        <v>3</v>
      </c>
      <c r="O743" s="2" t="s">
        <v>351</v>
      </c>
      <c r="P743" s="25">
        <v>8.3000000000000007</v>
      </c>
      <c r="Q743" t="str">
        <f t="shared" si="100"/>
        <v>0742</v>
      </c>
      <c r="R743" t="str">
        <f>IF('RETAIL SALES DATA.'!H743&gt;AVERAGE('RETAIL SALES DATA.'!H743:H1742),"HIGHEST VALUE","LOWEST VALUE")</f>
        <v>LOWEST VALUE</v>
      </c>
      <c r="S743" t="str">
        <f t="shared" si="101"/>
        <v>Profit</v>
      </c>
      <c r="T743" t="str">
        <f t="shared" si="102"/>
        <v>Joseph Phillips</v>
      </c>
      <c r="U743" t="str">
        <f t="shared" si="103"/>
        <v>Chair</v>
      </c>
      <c r="V743">
        <f t="shared" si="104"/>
        <v>2026</v>
      </c>
      <c r="W743">
        <f t="shared" si="105"/>
        <v>4</v>
      </c>
      <c r="X743">
        <f t="shared" si="106"/>
        <v>16</v>
      </c>
      <c r="Y743" t="str">
        <f t="shared" si="107"/>
        <v>Apr</v>
      </c>
      <c r="Z743">
        <f t="shared" si="108"/>
        <v>9</v>
      </c>
    </row>
    <row r="744" spans="1:26" ht="15.75" customHeight="1" x14ac:dyDescent="0.3">
      <c r="A744" s="2" t="s">
        <v>1761</v>
      </c>
      <c r="B744" s="2" t="s">
        <v>1762</v>
      </c>
      <c r="C744" s="2" t="s">
        <v>168</v>
      </c>
      <c r="D744" s="2" t="s">
        <v>43</v>
      </c>
      <c r="E744" s="2" t="s">
        <v>44</v>
      </c>
      <c r="F744" s="2">
        <v>2</v>
      </c>
      <c r="G744" s="2">
        <v>4458.49</v>
      </c>
      <c r="H744" s="2">
        <v>8916.98</v>
      </c>
      <c r="I744" s="2">
        <v>4780.5</v>
      </c>
      <c r="J744" s="2">
        <v>4136.4799999999996</v>
      </c>
      <c r="K744" s="3">
        <v>45454</v>
      </c>
      <c r="L744" s="3">
        <v>45462</v>
      </c>
      <c r="M744" s="2" t="s">
        <v>50</v>
      </c>
      <c r="N744" s="2">
        <v>4</v>
      </c>
      <c r="O744" s="2" t="s">
        <v>51</v>
      </c>
      <c r="P744" s="25">
        <v>8.6</v>
      </c>
      <c r="Q744" t="str">
        <f t="shared" si="100"/>
        <v>0743</v>
      </c>
      <c r="R744" t="str">
        <f>IF('RETAIL SALES DATA.'!H744&gt;AVERAGE('RETAIL SALES DATA.'!H744:H1743),"HIGHEST VALUE","LOWEST VALUE")</f>
        <v>LOWEST VALUE</v>
      </c>
      <c r="S744" t="str">
        <f t="shared" si="101"/>
        <v>Profit</v>
      </c>
      <c r="T744" t="str">
        <f t="shared" si="102"/>
        <v>Michael Arias</v>
      </c>
      <c r="U744" t="str">
        <f t="shared" si="103"/>
        <v>Keyboard</v>
      </c>
      <c r="V744">
        <f t="shared" si="104"/>
        <v>2024</v>
      </c>
      <c r="W744">
        <f t="shared" si="105"/>
        <v>6</v>
      </c>
      <c r="X744">
        <f t="shared" si="106"/>
        <v>11</v>
      </c>
      <c r="Y744" t="str">
        <f t="shared" si="107"/>
        <v>Jun</v>
      </c>
      <c r="Z744">
        <f t="shared" si="108"/>
        <v>8</v>
      </c>
    </row>
    <row r="745" spans="1:26" ht="15.75" customHeight="1" x14ac:dyDescent="0.3">
      <c r="A745" s="2" t="s">
        <v>1763</v>
      </c>
      <c r="B745" s="2" t="s">
        <v>1764</v>
      </c>
      <c r="C745" s="2" t="s">
        <v>72</v>
      </c>
      <c r="D745" s="2" t="s">
        <v>31</v>
      </c>
      <c r="E745" s="2" t="s">
        <v>32</v>
      </c>
      <c r="F745" s="2">
        <v>10</v>
      </c>
      <c r="G745" s="2">
        <v>218.74</v>
      </c>
      <c r="H745" s="2">
        <v>2187.4</v>
      </c>
      <c r="I745" s="2">
        <v>1437.17</v>
      </c>
      <c r="J745" s="2">
        <v>750.23</v>
      </c>
      <c r="K745" s="3">
        <v>45597</v>
      </c>
      <c r="L745" s="3">
        <v>45605</v>
      </c>
      <c r="M745" s="2" t="s">
        <v>21</v>
      </c>
      <c r="N745" s="2">
        <v>3</v>
      </c>
      <c r="O745" s="2" t="s">
        <v>635</v>
      </c>
      <c r="P745" s="25">
        <v>8.8000000000000007</v>
      </c>
      <c r="Q745" t="str">
        <f t="shared" si="100"/>
        <v>0744</v>
      </c>
      <c r="R745" t="str">
        <f>IF('RETAIL SALES DATA.'!H745&gt;AVERAGE('RETAIL SALES DATA.'!H745:H1744),"HIGHEST VALUE","LOWEST VALUE")</f>
        <v>LOWEST VALUE</v>
      </c>
      <c r="S745" t="str">
        <f t="shared" si="101"/>
        <v>Profit</v>
      </c>
      <c r="T745" t="str">
        <f t="shared" si="102"/>
        <v>Wesley Lynch</v>
      </c>
      <c r="U745" t="str">
        <f t="shared" si="103"/>
        <v>Chair</v>
      </c>
      <c r="V745">
        <f t="shared" si="104"/>
        <v>2024</v>
      </c>
      <c r="W745">
        <f t="shared" si="105"/>
        <v>11</v>
      </c>
      <c r="X745">
        <f t="shared" si="106"/>
        <v>1</v>
      </c>
      <c r="Y745" t="str">
        <f t="shared" si="107"/>
        <v>Nov</v>
      </c>
      <c r="Z745">
        <f t="shared" si="108"/>
        <v>8</v>
      </c>
    </row>
    <row r="746" spans="1:26" ht="15.75" customHeight="1" x14ac:dyDescent="0.3">
      <c r="A746" s="2" t="s">
        <v>1765</v>
      </c>
      <c r="B746" s="2" t="s">
        <v>1766</v>
      </c>
      <c r="C746" s="2" t="s">
        <v>144</v>
      </c>
      <c r="D746" s="2" t="s">
        <v>19</v>
      </c>
      <c r="E746" s="2" t="s">
        <v>32</v>
      </c>
      <c r="F746" s="2">
        <v>16</v>
      </c>
      <c r="G746" s="2">
        <v>4476.2299999999996</v>
      </c>
      <c r="H746" s="2">
        <v>71619.679999999993</v>
      </c>
      <c r="I746" s="2">
        <v>43190.239999999998</v>
      </c>
      <c r="J746" s="2">
        <v>28429.439999999999</v>
      </c>
      <c r="K746" s="3">
        <v>45443</v>
      </c>
      <c r="L746" s="3">
        <v>45453</v>
      </c>
      <c r="M746" s="2" t="s">
        <v>123</v>
      </c>
      <c r="N746" s="2">
        <v>5</v>
      </c>
      <c r="O746" s="2" t="s">
        <v>588</v>
      </c>
      <c r="P746" s="25">
        <v>6.6</v>
      </c>
      <c r="Q746" t="str">
        <f t="shared" si="100"/>
        <v>0745</v>
      </c>
      <c r="R746" t="str">
        <f>IF('RETAIL SALES DATA.'!H746&gt;AVERAGE('RETAIL SALES DATA.'!H746:H1745),"HIGHEST VALUE","LOWEST VALUE")</f>
        <v>HIGHEST VALUE</v>
      </c>
      <c r="S746" t="str">
        <f t="shared" si="101"/>
        <v>Profit</v>
      </c>
      <c r="T746" t="str">
        <f t="shared" si="102"/>
        <v>Hayden Ortega</v>
      </c>
      <c r="U746" t="str">
        <f t="shared" si="103"/>
        <v>File</v>
      </c>
      <c r="V746">
        <f t="shared" si="104"/>
        <v>2024</v>
      </c>
      <c r="W746">
        <f t="shared" si="105"/>
        <v>6</v>
      </c>
      <c r="X746">
        <f t="shared" si="106"/>
        <v>31</v>
      </c>
      <c r="Y746" t="str">
        <f t="shared" si="107"/>
        <v>May</v>
      </c>
      <c r="Z746">
        <f t="shared" si="108"/>
        <v>10</v>
      </c>
    </row>
    <row r="747" spans="1:26" ht="15.75" customHeight="1" x14ac:dyDescent="0.3">
      <c r="A747" s="2" t="s">
        <v>1767</v>
      </c>
      <c r="B747" s="2" t="s">
        <v>1768</v>
      </c>
      <c r="C747" s="2" t="s">
        <v>144</v>
      </c>
      <c r="D747" s="2" t="s">
        <v>19</v>
      </c>
      <c r="E747" s="2" t="s">
        <v>32</v>
      </c>
      <c r="F747" s="2">
        <v>9</v>
      </c>
      <c r="G747" s="2">
        <v>3555.04</v>
      </c>
      <c r="H747" s="2">
        <v>31995.360000000001</v>
      </c>
      <c r="I747" s="2">
        <v>22127.21</v>
      </c>
      <c r="J747" s="2">
        <v>9868.15</v>
      </c>
      <c r="K747" s="3">
        <v>45868</v>
      </c>
      <c r="L747" s="3">
        <v>45869</v>
      </c>
      <c r="M747" s="2" t="s">
        <v>45</v>
      </c>
      <c r="N747" s="2">
        <v>1</v>
      </c>
      <c r="O747" s="2" t="s">
        <v>318</v>
      </c>
      <c r="P747" s="25">
        <v>9.5</v>
      </c>
      <c r="Q747" t="str">
        <f t="shared" si="100"/>
        <v>0746</v>
      </c>
      <c r="R747" t="str">
        <f>IF('RETAIL SALES DATA.'!H747&gt;AVERAGE('RETAIL SALES DATA.'!H747:H1746),"HIGHEST VALUE","LOWEST VALUE")</f>
        <v>HIGHEST VALUE</v>
      </c>
      <c r="S747" t="str">
        <f t="shared" si="101"/>
        <v>Profit</v>
      </c>
      <c r="T747" t="str">
        <f t="shared" si="102"/>
        <v>Sharon Richardson</v>
      </c>
      <c r="U747" t="str">
        <f t="shared" si="103"/>
        <v>File</v>
      </c>
      <c r="V747">
        <f t="shared" si="104"/>
        <v>2025</v>
      </c>
      <c r="W747">
        <f t="shared" si="105"/>
        <v>7</v>
      </c>
      <c r="X747">
        <f t="shared" si="106"/>
        <v>30</v>
      </c>
      <c r="Y747" t="str">
        <f t="shared" si="107"/>
        <v>Jul</v>
      </c>
      <c r="Z747">
        <f t="shared" si="108"/>
        <v>1</v>
      </c>
    </row>
    <row r="748" spans="1:26" ht="15.75" customHeight="1" x14ac:dyDescent="0.3">
      <c r="A748" s="2" t="s">
        <v>1769</v>
      </c>
      <c r="B748" s="2" t="s">
        <v>1770</v>
      </c>
      <c r="C748" s="2" t="s">
        <v>62</v>
      </c>
      <c r="D748" s="2" t="s">
        <v>31</v>
      </c>
      <c r="E748" s="2" t="s">
        <v>25</v>
      </c>
      <c r="F748" s="2">
        <v>9</v>
      </c>
      <c r="G748" s="2">
        <v>582.54999999999995</v>
      </c>
      <c r="H748" s="2">
        <v>5242.95</v>
      </c>
      <c r="I748" s="2">
        <v>4479.03</v>
      </c>
      <c r="J748" s="2">
        <v>763.92</v>
      </c>
      <c r="K748" s="3">
        <v>45493</v>
      </c>
      <c r="L748" s="3">
        <v>45495</v>
      </c>
      <c r="M748" s="2" t="s">
        <v>58</v>
      </c>
      <c r="N748" s="2">
        <v>2</v>
      </c>
      <c r="O748" s="2" t="s">
        <v>205</v>
      </c>
      <c r="P748" s="25">
        <v>8.8000000000000007</v>
      </c>
      <c r="Q748" t="str">
        <f t="shared" si="100"/>
        <v>0747</v>
      </c>
      <c r="R748" t="str">
        <f>IF('RETAIL SALES DATA.'!H748&gt;AVERAGE('RETAIL SALES DATA.'!H748:H1747),"HIGHEST VALUE","LOWEST VALUE")</f>
        <v>LOWEST VALUE</v>
      </c>
      <c r="S748" t="str">
        <f t="shared" si="101"/>
        <v>Profit</v>
      </c>
      <c r="T748" t="str">
        <f t="shared" si="102"/>
        <v>Laurie Padilla Md</v>
      </c>
      <c r="U748" t="str">
        <f t="shared" si="103"/>
        <v>Table</v>
      </c>
      <c r="V748">
        <f t="shared" si="104"/>
        <v>2024</v>
      </c>
      <c r="W748">
        <f t="shared" si="105"/>
        <v>7</v>
      </c>
      <c r="X748">
        <f t="shared" si="106"/>
        <v>20</v>
      </c>
      <c r="Y748" t="str">
        <f t="shared" si="107"/>
        <v>Jul</v>
      </c>
      <c r="Z748">
        <f t="shared" si="108"/>
        <v>2</v>
      </c>
    </row>
    <row r="749" spans="1:26" ht="15.75" customHeight="1" x14ac:dyDescent="0.3">
      <c r="A749" s="2" t="s">
        <v>1771</v>
      </c>
      <c r="B749" s="2" t="s">
        <v>1772</v>
      </c>
      <c r="C749" s="2" t="s">
        <v>168</v>
      </c>
      <c r="D749" s="2" t="s">
        <v>43</v>
      </c>
      <c r="E749" s="2" t="s">
        <v>32</v>
      </c>
      <c r="F749" s="2">
        <v>9</v>
      </c>
      <c r="G749" s="2">
        <v>1499.95</v>
      </c>
      <c r="H749" s="2">
        <v>13499.55</v>
      </c>
      <c r="I749" s="2">
        <v>7101.4</v>
      </c>
      <c r="J749" s="2">
        <v>6398.15</v>
      </c>
      <c r="K749" s="3">
        <v>45675</v>
      </c>
      <c r="L749" s="3">
        <v>45685</v>
      </c>
      <c r="M749" s="2" t="s">
        <v>21</v>
      </c>
      <c r="N749" s="2">
        <v>1</v>
      </c>
      <c r="O749" s="2" t="s">
        <v>533</v>
      </c>
      <c r="P749" s="25">
        <v>8.8000000000000007</v>
      </c>
      <c r="Q749" t="str">
        <f t="shared" si="100"/>
        <v>0748</v>
      </c>
      <c r="R749" t="str">
        <f>IF('RETAIL SALES DATA.'!H749&gt;AVERAGE('RETAIL SALES DATA.'!H749:H1748),"HIGHEST VALUE","LOWEST VALUE")</f>
        <v>LOWEST VALUE</v>
      </c>
      <c r="S749" t="str">
        <f t="shared" si="101"/>
        <v>Profit</v>
      </c>
      <c r="T749" t="str">
        <f t="shared" si="102"/>
        <v>Sylvia Johnson</v>
      </c>
      <c r="U749" t="str">
        <f t="shared" si="103"/>
        <v>Keyboard</v>
      </c>
      <c r="V749">
        <f t="shared" si="104"/>
        <v>2025</v>
      </c>
      <c r="W749">
        <f t="shared" si="105"/>
        <v>1</v>
      </c>
      <c r="X749">
        <f t="shared" si="106"/>
        <v>18</v>
      </c>
      <c r="Y749" t="str">
        <f t="shared" si="107"/>
        <v>Jan</v>
      </c>
      <c r="Z749">
        <f t="shared" si="108"/>
        <v>10</v>
      </c>
    </row>
    <row r="750" spans="1:26" ht="15.75" customHeight="1" x14ac:dyDescent="0.3">
      <c r="A750" s="2" t="s">
        <v>1773</v>
      </c>
      <c r="B750" s="2" t="s">
        <v>1774</v>
      </c>
      <c r="C750" s="2" t="s">
        <v>88</v>
      </c>
      <c r="D750" s="2" t="s">
        <v>31</v>
      </c>
      <c r="E750" s="2" t="s">
        <v>25</v>
      </c>
      <c r="F750" s="2">
        <v>14</v>
      </c>
      <c r="G750" s="2">
        <v>1066.3900000000001</v>
      </c>
      <c r="H750" s="2">
        <v>14929.46</v>
      </c>
      <c r="I750" s="2">
        <v>8789.5</v>
      </c>
      <c r="J750" s="2">
        <v>6139.96</v>
      </c>
      <c r="K750" s="3">
        <v>45439</v>
      </c>
      <c r="L750" s="3">
        <v>45449</v>
      </c>
      <c r="M750" s="2" t="s">
        <v>123</v>
      </c>
      <c r="N750" s="2">
        <v>5</v>
      </c>
      <c r="O750" s="2" t="s">
        <v>205</v>
      </c>
      <c r="P750" s="25">
        <v>8.1</v>
      </c>
      <c r="Q750" t="str">
        <f t="shared" si="100"/>
        <v>0749</v>
      </c>
      <c r="R750" t="str">
        <f>IF('RETAIL SALES DATA.'!H750&gt;AVERAGE('RETAIL SALES DATA.'!H750:H1749),"HIGHEST VALUE","LOWEST VALUE")</f>
        <v>LOWEST VALUE</v>
      </c>
      <c r="S750" t="str">
        <f t="shared" si="101"/>
        <v>Profit</v>
      </c>
      <c r="T750" t="str">
        <f t="shared" si="102"/>
        <v>Marcus Hall</v>
      </c>
      <c r="U750" t="str">
        <f t="shared" si="103"/>
        <v>Cupboard</v>
      </c>
      <c r="V750">
        <f t="shared" si="104"/>
        <v>2024</v>
      </c>
      <c r="W750">
        <f t="shared" si="105"/>
        <v>6</v>
      </c>
      <c r="X750">
        <f t="shared" si="106"/>
        <v>27</v>
      </c>
      <c r="Y750" t="str">
        <f t="shared" si="107"/>
        <v>May</v>
      </c>
      <c r="Z750">
        <f t="shared" si="108"/>
        <v>10</v>
      </c>
    </row>
    <row r="751" spans="1:26" ht="15.75" customHeight="1" x14ac:dyDescent="0.3">
      <c r="A751" s="2" t="s">
        <v>1775</v>
      </c>
      <c r="B751" s="2" t="s">
        <v>1776</v>
      </c>
      <c r="C751" s="2" t="s">
        <v>37</v>
      </c>
      <c r="D751" s="2" t="s">
        <v>19</v>
      </c>
      <c r="E751" s="2" t="s">
        <v>32</v>
      </c>
      <c r="F751" s="2">
        <v>3</v>
      </c>
      <c r="G751" s="2">
        <v>1881.1</v>
      </c>
      <c r="H751" s="2">
        <v>5643.3</v>
      </c>
      <c r="I751" s="2">
        <v>3892.51</v>
      </c>
      <c r="J751" s="2">
        <v>1750.79</v>
      </c>
      <c r="K751" s="3">
        <v>45448</v>
      </c>
      <c r="L751" s="3">
        <v>45458</v>
      </c>
      <c r="M751" s="2" t="s">
        <v>38</v>
      </c>
      <c r="N751" s="2">
        <v>1</v>
      </c>
      <c r="O751" s="2" t="s">
        <v>1395</v>
      </c>
      <c r="P751" s="25">
        <v>7.9</v>
      </c>
      <c r="Q751" t="str">
        <f t="shared" si="100"/>
        <v>0750</v>
      </c>
      <c r="R751" t="str">
        <f>IF('RETAIL SALES DATA.'!H751&gt;AVERAGE('RETAIL SALES DATA.'!H751:H1750),"HIGHEST VALUE","LOWEST VALUE")</f>
        <v>LOWEST VALUE</v>
      </c>
      <c r="S751" t="str">
        <f t="shared" si="101"/>
        <v>Profit</v>
      </c>
      <c r="T751" t="str">
        <f t="shared" si="102"/>
        <v>Kevin Martinez</v>
      </c>
      <c r="U751" t="str">
        <f t="shared" si="103"/>
        <v>Marker</v>
      </c>
      <c r="V751">
        <f t="shared" si="104"/>
        <v>2024</v>
      </c>
      <c r="W751">
        <f t="shared" si="105"/>
        <v>6</v>
      </c>
      <c r="X751">
        <f t="shared" si="106"/>
        <v>5</v>
      </c>
      <c r="Y751" t="str">
        <f t="shared" si="107"/>
        <v>Jun</v>
      </c>
      <c r="Z751">
        <f t="shared" si="108"/>
        <v>10</v>
      </c>
    </row>
    <row r="752" spans="1:26" ht="15.75" customHeight="1" x14ac:dyDescent="0.3">
      <c r="A752" s="2" t="s">
        <v>1777</v>
      </c>
      <c r="B752" s="2" t="s">
        <v>1778</v>
      </c>
      <c r="C752" s="2" t="s">
        <v>168</v>
      </c>
      <c r="D752" s="2" t="s">
        <v>43</v>
      </c>
      <c r="E752" s="2" t="s">
        <v>20</v>
      </c>
      <c r="F752" s="2">
        <v>3</v>
      </c>
      <c r="G752" s="2">
        <v>2890.52</v>
      </c>
      <c r="H752" s="2">
        <v>8671.56</v>
      </c>
      <c r="I752" s="2">
        <v>4460.59</v>
      </c>
      <c r="J752" s="2">
        <v>4210.97</v>
      </c>
      <c r="K752" s="3">
        <v>45585</v>
      </c>
      <c r="L752" s="3">
        <v>45590</v>
      </c>
      <c r="M752" s="2" t="s">
        <v>33</v>
      </c>
      <c r="N752" s="2">
        <v>5</v>
      </c>
      <c r="O752" s="2" t="s">
        <v>904</v>
      </c>
      <c r="P752" s="25">
        <v>6.2</v>
      </c>
      <c r="Q752" t="str">
        <f t="shared" si="100"/>
        <v>0751</v>
      </c>
      <c r="R752" t="str">
        <f>IF('RETAIL SALES DATA.'!H752&gt;AVERAGE('RETAIL SALES DATA.'!H752:H1751),"HIGHEST VALUE","LOWEST VALUE")</f>
        <v>LOWEST VALUE</v>
      </c>
      <c r="S752" t="str">
        <f t="shared" si="101"/>
        <v>Profit</v>
      </c>
      <c r="T752" t="str">
        <f t="shared" si="102"/>
        <v>Derek Brandt</v>
      </c>
      <c r="U752" t="str">
        <f t="shared" si="103"/>
        <v>Keyboard</v>
      </c>
      <c r="V752">
        <f t="shared" si="104"/>
        <v>2024</v>
      </c>
      <c r="W752">
        <f t="shared" si="105"/>
        <v>10</v>
      </c>
      <c r="X752">
        <f t="shared" si="106"/>
        <v>20</v>
      </c>
      <c r="Y752" t="str">
        <f t="shared" si="107"/>
        <v>Oct</v>
      </c>
      <c r="Z752">
        <f t="shared" si="108"/>
        <v>5</v>
      </c>
    </row>
    <row r="753" spans="1:26" ht="15.75" customHeight="1" x14ac:dyDescent="0.3">
      <c r="A753" s="2" t="s">
        <v>1779</v>
      </c>
      <c r="B753" s="2" t="s">
        <v>1780</v>
      </c>
      <c r="C753" s="2" t="s">
        <v>139</v>
      </c>
      <c r="D753" s="2" t="s">
        <v>31</v>
      </c>
      <c r="E753" s="2" t="s">
        <v>44</v>
      </c>
      <c r="F753" s="2">
        <v>14</v>
      </c>
      <c r="G753" s="2">
        <v>1625.67</v>
      </c>
      <c r="H753" s="2">
        <v>22759.38</v>
      </c>
      <c r="I753" s="2">
        <v>14998.73</v>
      </c>
      <c r="J753" s="2">
        <v>7760.65</v>
      </c>
      <c r="K753" s="3">
        <v>45469</v>
      </c>
      <c r="L753" s="3">
        <v>45479</v>
      </c>
      <c r="M753" s="2" t="s">
        <v>123</v>
      </c>
      <c r="N753" s="2">
        <v>1</v>
      </c>
      <c r="O753" s="2" t="s">
        <v>251</v>
      </c>
      <c r="P753" s="25">
        <v>9.1999999999999993</v>
      </c>
      <c r="Q753" t="str">
        <f t="shared" si="100"/>
        <v>0752</v>
      </c>
      <c r="R753" t="str">
        <f>IF('RETAIL SALES DATA.'!H753&gt;AVERAGE('RETAIL SALES DATA.'!H753:H1752),"HIGHEST VALUE","LOWEST VALUE")</f>
        <v>LOWEST VALUE</v>
      </c>
      <c r="S753" t="str">
        <f t="shared" si="101"/>
        <v>Profit</v>
      </c>
      <c r="T753" t="str">
        <f t="shared" si="102"/>
        <v>Brittany Stokes</v>
      </c>
      <c r="U753" t="str">
        <f t="shared" si="103"/>
        <v>Sofa</v>
      </c>
      <c r="V753">
        <f t="shared" si="104"/>
        <v>2024</v>
      </c>
      <c r="W753">
        <f t="shared" si="105"/>
        <v>7</v>
      </c>
      <c r="X753">
        <f t="shared" si="106"/>
        <v>26</v>
      </c>
      <c r="Y753" t="str">
        <f t="shared" si="107"/>
        <v>Jun</v>
      </c>
      <c r="Z753">
        <f t="shared" si="108"/>
        <v>10</v>
      </c>
    </row>
    <row r="754" spans="1:26" ht="15.75" customHeight="1" x14ac:dyDescent="0.3">
      <c r="A754" s="2" t="s">
        <v>1781</v>
      </c>
      <c r="B754" s="2" t="s">
        <v>689</v>
      </c>
      <c r="C754" s="2" t="s">
        <v>30</v>
      </c>
      <c r="D754" s="2" t="s">
        <v>31</v>
      </c>
      <c r="E754" s="2" t="s">
        <v>32</v>
      </c>
      <c r="F754" s="2">
        <v>6</v>
      </c>
      <c r="G754" s="2">
        <v>427.11</v>
      </c>
      <c r="H754" s="2">
        <v>2562.66</v>
      </c>
      <c r="I754" s="2">
        <v>2113.88</v>
      </c>
      <c r="J754" s="2">
        <v>448.78</v>
      </c>
      <c r="K754" s="3">
        <v>45967</v>
      </c>
      <c r="L754" s="3">
        <v>45972</v>
      </c>
      <c r="M754" s="2" t="s">
        <v>50</v>
      </c>
      <c r="N754" s="2">
        <v>1</v>
      </c>
      <c r="O754" s="2" t="s">
        <v>332</v>
      </c>
      <c r="P754" s="25">
        <v>7.4</v>
      </c>
      <c r="Q754" t="str">
        <f t="shared" si="100"/>
        <v>0753</v>
      </c>
      <c r="R754" t="str">
        <f>IF('RETAIL SALES DATA.'!H754&gt;AVERAGE('RETAIL SALES DATA.'!H754:H1753),"HIGHEST VALUE","LOWEST VALUE")</f>
        <v>LOWEST VALUE</v>
      </c>
      <c r="S754" t="str">
        <f t="shared" si="101"/>
        <v>Profit</v>
      </c>
      <c r="T754" t="str">
        <f t="shared" si="102"/>
        <v>Teresa Edwards</v>
      </c>
      <c r="U754" t="str">
        <f t="shared" si="103"/>
        <v>Desk</v>
      </c>
      <c r="V754">
        <f t="shared" si="104"/>
        <v>2025</v>
      </c>
      <c r="W754">
        <f t="shared" si="105"/>
        <v>11</v>
      </c>
      <c r="X754">
        <f t="shared" si="106"/>
        <v>6</v>
      </c>
      <c r="Y754" t="str">
        <f t="shared" si="107"/>
        <v>Nov</v>
      </c>
      <c r="Z754">
        <f t="shared" si="108"/>
        <v>5</v>
      </c>
    </row>
    <row r="755" spans="1:26" ht="15.75" customHeight="1" x14ac:dyDescent="0.3">
      <c r="A755" s="2" t="s">
        <v>1782</v>
      </c>
      <c r="B755" s="2" t="s">
        <v>1783</v>
      </c>
      <c r="C755" s="2" t="s">
        <v>72</v>
      </c>
      <c r="D755" s="2" t="s">
        <v>31</v>
      </c>
      <c r="E755" s="2" t="s">
        <v>32</v>
      </c>
      <c r="F755" s="2">
        <v>14</v>
      </c>
      <c r="G755" s="2">
        <v>1648.05</v>
      </c>
      <c r="H755" s="2">
        <v>23072.7</v>
      </c>
      <c r="I755" s="2">
        <v>16639.13</v>
      </c>
      <c r="J755" s="2">
        <v>6433.57</v>
      </c>
      <c r="K755" s="3">
        <v>45807</v>
      </c>
      <c r="L755" s="3">
        <v>45817</v>
      </c>
      <c r="M755" s="2" t="s">
        <v>26</v>
      </c>
      <c r="N755" s="2">
        <v>5</v>
      </c>
      <c r="O755" s="2" t="s">
        <v>741</v>
      </c>
      <c r="P755" s="25">
        <v>6.9</v>
      </c>
      <c r="Q755" t="str">
        <f t="shared" si="100"/>
        <v>0754</v>
      </c>
      <c r="R755" t="str">
        <f>IF('RETAIL SALES DATA.'!H755&gt;AVERAGE('RETAIL SALES DATA.'!H755:H1754),"HIGHEST VALUE","LOWEST VALUE")</f>
        <v>LOWEST VALUE</v>
      </c>
      <c r="S755" t="str">
        <f t="shared" si="101"/>
        <v>Profit</v>
      </c>
      <c r="T755" t="str">
        <f t="shared" si="102"/>
        <v>Mary Franco</v>
      </c>
      <c r="U755" t="str">
        <f t="shared" si="103"/>
        <v>Chair</v>
      </c>
      <c r="V755">
        <f t="shared" si="104"/>
        <v>2025</v>
      </c>
      <c r="W755">
        <f t="shared" si="105"/>
        <v>6</v>
      </c>
      <c r="X755">
        <f t="shared" si="106"/>
        <v>30</v>
      </c>
      <c r="Y755" t="str">
        <f t="shared" si="107"/>
        <v>May</v>
      </c>
      <c r="Z755">
        <f t="shared" si="108"/>
        <v>10</v>
      </c>
    </row>
    <row r="756" spans="1:26" ht="15.75" customHeight="1" x14ac:dyDescent="0.3">
      <c r="A756" s="2" t="s">
        <v>1784</v>
      </c>
      <c r="B756" s="2" t="s">
        <v>1785</v>
      </c>
      <c r="C756" s="2" t="s">
        <v>95</v>
      </c>
      <c r="D756" s="2" t="s">
        <v>19</v>
      </c>
      <c r="E756" s="2" t="s">
        <v>25</v>
      </c>
      <c r="F756" s="2">
        <v>11</v>
      </c>
      <c r="G756" s="2">
        <v>3867.51</v>
      </c>
      <c r="H756" s="2">
        <v>42542.61</v>
      </c>
      <c r="I756" s="2">
        <v>28330.46</v>
      </c>
      <c r="J756" s="2">
        <v>14212.15</v>
      </c>
      <c r="K756" s="3">
        <v>45672</v>
      </c>
      <c r="L756" s="3">
        <v>45676</v>
      </c>
      <c r="M756" s="2" t="s">
        <v>50</v>
      </c>
      <c r="N756" s="2">
        <v>5</v>
      </c>
      <c r="O756" s="2" t="s">
        <v>406</v>
      </c>
      <c r="P756" s="25">
        <v>9.5</v>
      </c>
      <c r="Q756" t="str">
        <f t="shared" si="100"/>
        <v>0755</v>
      </c>
      <c r="R756" t="str">
        <f>IF('RETAIL SALES DATA.'!H756&gt;AVERAGE('RETAIL SALES DATA.'!H756:H1755),"HIGHEST VALUE","LOWEST VALUE")</f>
        <v>HIGHEST VALUE</v>
      </c>
      <c r="S756" t="str">
        <f t="shared" si="101"/>
        <v>Profit</v>
      </c>
      <c r="T756" t="str">
        <f t="shared" si="102"/>
        <v>Veronica Stewart</v>
      </c>
      <c r="U756" t="str">
        <f t="shared" si="103"/>
        <v>Printer</v>
      </c>
      <c r="V756">
        <f t="shared" si="104"/>
        <v>2025</v>
      </c>
      <c r="W756">
        <f t="shared" si="105"/>
        <v>1</v>
      </c>
      <c r="X756">
        <f t="shared" si="106"/>
        <v>15</v>
      </c>
      <c r="Y756" t="str">
        <f t="shared" si="107"/>
        <v>Jan</v>
      </c>
      <c r="Z756">
        <f t="shared" si="108"/>
        <v>4</v>
      </c>
    </row>
    <row r="757" spans="1:26" ht="15.75" customHeight="1" x14ac:dyDescent="0.3">
      <c r="A757" s="2" t="s">
        <v>1786</v>
      </c>
      <c r="B757" s="2" t="s">
        <v>1787</v>
      </c>
      <c r="C757" s="2" t="s">
        <v>57</v>
      </c>
      <c r="D757" s="2" t="s">
        <v>19</v>
      </c>
      <c r="E757" s="2" t="s">
        <v>20</v>
      </c>
      <c r="F757" s="2">
        <v>20</v>
      </c>
      <c r="G757" s="2">
        <v>2145.0700000000002</v>
      </c>
      <c r="H757" s="2">
        <v>42901.4</v>
      </c>
      <c r="I757" s="2">
        <v>27778.959999999999</v>
      </c>
      <c r="J757" s="2">
        <v>15122.44</v>
      </c>
      <c r="K757" s="3">
        <v>45849</v>
      </c>
      <c r="L757" s="3">
        <v>45856</v>
      </c>
      <c r="M757" s="2" t="s">
        <v>69</v>
      </c>
      <c r="N757" s="2">
        <v>4</v>
      </c>
      <c r="O757" s="2" t="s">
        <v>746</v>
      </c>
      <c r="P757" s="25">
        <v>8.1</v>
      </c>
      <c r="Q757" t="str">
        <f t="shared" si="100"/>
        <v>0756</v>
      </c>
      <c r="R757" t="str">
        <f>IF('RETAIL SALES DATA.'!H757&gt;AVERAGE('RETAIL SALES DATA.'!H757:H1756),"HIGHEST VALUE","LOWEST VALUE")</f>
        <v>HIGHEST VALUE</v>
      </c>
      <c r="S757" t="str">
        <f t="shared" si="101"/>
        <v>Profit</v>
      </c>
      <c r="T757" t="str">
        <f t="shared" si="102"/>
        <v>Savannah Adams</v>
      </c>
      <c r="U757" t="str">
        <f t="shared" si="103"/>
        <v>Notebook</v>
      </c>
      <c r="V757">
        <f t="shared" si="104"/>
        <v>2025</v>
      </c>
      <c r="W757">
        <f t="shared" si="105"/>
        <v>7</v>
      </c>
      <c r="X757">
        <f t="shared" si="106"/>
        <v>11</v>
      </c>
      <c r="Y757" t="str">
        <f t="shared" si="107"/>
        <v>Jul</v>
      </c>
      <c r="Z757">
        <f t="shared" si="108"/>
        <v>7</v>
      </c>
    </row>
    <row r="758" spans="1:26" ht="15.75" customHeight="1" x14ac:dyDescent="0.3">
      <c r="A758" s="2" t="s">
        <v>1788</v>
      </c>
      <c r="B758" s="2" t="s">
        <v>1789</v>
      </c>
      <c r="C758" s="2" t="s">
        <v>62</v>
      </c>
      <c r="D758" s="2" t="s">
        <v>31</v>
      </c>
      <c r="E758" s="2" t="s">
        <v>20</v>
      </c>
      <c r="F758" s="2">
        <v>4</v>
      </c>
      <c r="G758" s="2">
        <v>1824.91</v>
      </c>
      <c r="H758" s="2">
        <v>7299.64</v>
      </c>
      <c r="I758" s="2">
        <v>5680</v>
      </c>
      <c r="J758" s="2">
        <v>1619.64</v>
      </c>
      <c r="K758" s="3">
        <v>45780</v>
      </c>
      <c r="L758" s="3">
        <v>45790</v>
      </c>
      <c r="M758" s="2" t="s">
        <v>50</v>
      </c>
      <c r="N758" s="2">
        <v>2</v>
      </c>
      <c r="O758" s="2" t="s">
        <v>202</v>
      </c>
      <c r="P758" s="25">
        <v>9.1</v>
      </c>
      <c r="Q758" t="str">
        <f t="shared" si="100"/>
        <v>0757</v>
      </c>
      <c r="R758" t="str">
        <f>IF('RETAIL SALES DATA.'!H758&gt;AVERAGE('RETAIL SALES DATA.'!H758:H1757),"HIGHEST VALUE","LOWEST VALUE")</f>
        <v>LOWEST VALUE</v>
      </c>
      <c r="S758" t="str">
        <f t="shared" si="101"/>
        <v>Profit</v>
      </c>
      <c r="T758" t="str">
        <f t="shared" si="102"/>
        <v>Brenda Morales</v>
      </c>
      <c r="U758" t="str">
        <f t="shared" si="103"/>
        <v>Table</v>
      </c>
      <c r="V758">
        <f t="shared" si="104"/>
        <v>2025</v>
      </c>
      <c r="W758">
        <f t="shared" si="105"/>
        <v>5</v>
      </c>
      <c r="X758">
        <f t="shared" si="106"/>
        <v>3</v>
      </c>
      <c r="Y758" t="str">
        <f t="shared" si="107"/>
        <v>May</v>
      </c>
      <c r="Z758">
        <f t="shared" si="108"/>
        <v>10</v>
      </c>
    </row>
    <row r="759" spans="1:26" ht="15.75" customHeight="1" x14ac:dyDescent="0.3">
      <c r="A759" s="2" t="s">
        <v>1790</v>
      </c>
      <c r="B759" s="2" t="s">
        <v>1791</v>
      </c>
      <c r="C759" s="2" t="s">
        <v>195</v>
      </c>
      <c r="D759" s="2" t="s">
        <v>43</v>
      </c>
      <c r="E759" s="2" t="s">
        <v>32</v>
      </c>
      <c r="F759" s="2">
        <v>9</v>
      </c>
      <c r="G759" s="2">
        <v>1123.3900000000001</v>
      </c>
      <c r="H759" s="2">
        <v>10110.51</v>
      </c>
      <c r="I759" s="2">
        <v>5686.02</v>
      </c>
      <c r="J759" s="2">
        <v>4424.49</v>
      </c>
      <c r="K759" s="3">
        <v>45680</v>
      </c>
      <c r="L759" s="3">
        <v>45682</v>
      </c>
      <c r="M759" s="2" t="s">
        <v>26</v>
      </c>
      <c r="N759" s="2">
        <v>4</v>
      </c>
      <c r="O759" s="2" t="s">
        <v>136</v>
      </c>
      <c r="P759" s="25">
        <v>7.1</v>
      </c>
      <c r="Q759" t="str">
        <f t="shared" si="100"/>
        <v>0758</v>
      </c>
      <c r="R759" t="str">
        <f>IF('RETAIL SALES DATA.'!H759&gt;AVERAGE('RETAIL SALES DATA.'!H759:H1758),"HIGHEST VALUE","LOWEST VALUE")</f>
        <v>LOWEST VALUE</v>
      </c>
      <c r="S759" t="str">
        <f t="shared" si="101"/>
        <v>Profit</v>
      </c>
      <c r="T759" t="str">
        <f t="shared" si="102"/>
        <v>Alan Farrell</v>
      </c>
      <c r="U759" t="str">
        <f t="shared" si="103"/>
        <v>Monitor</v>
      </c>
      <c r="V759">
        <f t="shared" si="104"/>
        <v>2025</v>
      </c>
      <c r="W759">
        <f t="shared" si="105"/>
        <v>1</v>
      </c>
      <c r="X759">
        <f t="shared" si="106"/>
        <v>23</v>
      </c>
      <c r="Y759" t="str">
        <f t="shared" si="107"/>
        <v>Jan</v>
      </c>
      <c r="Z759">
        <f t="shared" si="108"/>
        <v>2</v>
      </c>
    </row>
    <row r="760" spans="1:26" ht="15.75" customHeight="1" x14ac:dyDescent="0.3">
      <c r="A760" s="2" t="s">
        <v>1792</v>
      </c>
      <c r="B760" s="2" t="s">
        <v>1793</v>
      </c>
      <c r="C760" s="2" t="s">
        <v>95</v>
      </c>
      <c r="D760" s="2" t="s">
        <v>19</v>
      </c>
      <c r="E760" s="2" t="s">
        <v>32</v>
      </c>
      <c r="F760" s="2">
        <v>18</v>
      </c>
      <c r="G760" s="2">
        <v>115.96</v>
      </c>
      <c r="H760" s="2">
        <v>2087.2800000000002</v>
      </c>
      <c r="I760" s="2">
        <v>1556.16</v>
      </c>
      <c r="J760" s="2">
        <v>531.12</v>
      </c>
      <c r="K760" s="3">
        <v>45597</v>
      </c>
      <c r="L760" s="3">
        <v>45603</v>
      </c>
      <c r="M760" s="2" t="s">
        <v>181</v>
      </c>
      <c r="N760" s="2">
        <v>4</v>
      </c>
      <c r="O760" s="2" t="s">
        <v>441</v>
      </c>
      <c r="P760" s="25">
        <v>9.9</v>
      </c>
      <c r="Q760" t="str">
        <f t="shared" si="100"/>
        <v>0759</v>
      </c>
      <c r="R760" t="str">
        <f>IF('RETAIL SALES DATA.'!H760&gt;AVERAGE('RETAIL SALES DATA.'!H760:H1759),"HIGHEST VALUE","LOWEST VALUE")</f>
        <v>LOWEST VALUE</v>
      </c>
      <c r="S760" t="str">
        <f t="shared" si="101"/>
        <v>Profit</v>
      </c>
      <c r="T760" t="str">
        <f t="shared" si="102"/>
        <v>Erika Wilson</v>
      </c>
      <c r="U760" t="str">
        <f t="shared" si="103"/>
        <v>Printer</v>
      </c>
      <c r="V760">
        <f t="shared" si="104"/>
        <v>2024</v>
      </c>
      <c r="W760">
        <f t="shared" si="105"/>
        <v>11</v>
      </c>
      <c r="X760">
        <f t="shared" si="106"/>
        <v>1</v>
      </c>
      <c r="Y760" t="str">
        <f t="shared" si="107"/>
        <v>Nov</v>
      </c>
      <c r="Z760">
        <f t="shared" si="108"/>
        <v>6</v>
      </c>
    </row>
    <row r="761" spans="1:26" ht="15.75" customHeight="1" x14ac:dyDescent="0.3">
      <c r="A761" s="2" t="s">
        <v>1794</v>
      </c>
      <c r="B761" s="2" t="s">
        <v>1795</v>
      </c>
      <c r="C761" s="2" t="s">
        <v>95</v>
      </c>
      <c r="D761" s="2" t="s">
        <v>19</v>
      </c>
      <c r="E761" s="2" t="s">
        <v>44</v>
      </c>
      <c r="F761" s="2">
        <v>5</v>
      </c>
      <c r="G761" s="2">
        <v>2223.29</v>
      </c>
      <c r="H761" s="2">
        <v>11116.45</v>
      </c>
      <c r="I761" s="2">
        <v>8751.35</v>
      </c>
      <c r="J761" s="2">
        <v>2365.1</v>
      </c>
      <c r="K761" s="3">
        <v>46059</v>
      </c>
      <c r="L761" s="3">
        <v>46068</v>
      </c>
      <c r="M761" s="2" t="s">
        <v>21</v>
      </c>
      <c r="N761" s="2">
        <v>1</v>
      </c>
      <c r="O761" s="2" t="s">
        <v>79</v>
      </c>
      <c r="P761" s="25">
        <v>6.2</v>
      </c>
      <c r="Q761" t="str">
        <f t="shared" si="100"/>
        <v>0760</v>
      </c>
      <c r="R761" t="str">
        <f>IF('RETAIL SALES DATA.'!H761&gt;AVERAGE('RETAIL SALES DATA.'!H761:H1760),"HIGHEST VALUE","LOWEST VALUE")</f>
        <v>LOWEST VALUE</v>
      </c>
      <c r="S761" t="str">
        <f t="shared" si="101"/>
        <v>Profit</v>
      </c>
      <c r="T761" t="str">
        <f t="shared" si="102"/>
        <v>Mr. Matthew Ross</v>
      </c>
      <c r="U761" t="str">
        <f t="shared" si="103"/>
        <v>Printer</v>
      </c>
      <c r="V761">
        <f t="shared" si="104"/>
        <v>2026</v>
      </c>
      <c r="W761">
        <f t="shared" si="105"/>
        <v>2</v>
      </c>
      <c r="X761">
        <f t="shared" si="106"/>
        <v>6</v>
      </c>
      <c r="Y761" t="str">
        <f t="shared" si="107"/>
        <v>Feb</v>
      </c>
      <c r="Z761">
        <f t="shared" si="108"/>
        <v>9</v>
      </c>
    </row>
    <row r="762" spans="1:26" ht="15.75" customHeight="1" x14ac:dyDescent="0.3">
      <c r="A762" s="2" t="s">
        <v>1796</v>
      </c>
      <c r="B762" s="2" t="s">
        <v>1797</v>
      </c>
      <c r="C762" s="2" t="s">
        <v>195</v>
      </c>
      <c r="D762" s="2" t="s">
        <v>43</v>
      </c>
      <c r="E762" s="2" t="s">
        <v>25</v>
      </c>
      <c r="F762" s="2">
        <v>11</v>
      </c>
      <c r="G762" s="2">
        <v>1221.58</v>
      </c>
      <c r="H762" s="2">
        <v>13437.38</v>
      </c>
      <c r="I762" s="2">
        <v>9559.76</v>
      </c>
      <c r="J762" s="2">
        <v>3877.62</v>
      </c>
      <c r="K762" s="3">
        <v>46030</v>
      </c>
      <c r="L762" s="3">
        <v>46037</v>
      </c>
      <c r="M762" s="2" t="s">
        <v>38</v>
      </c>
      <c r="N762" s="2">
        <v>2</v>
      </c>
      <c r="O762" s="2" t="s">
        <v>604</v>
      </c>
      <c r="P762" s="25">
        <v>9.6999999999999993</v>
      </c>
      <c r="Q762" t="str">
        <f t="shared" si="100"/>
        <v>0761</v>
      </c>
      <c r="R762" t="str">
        <f>IF('RETAIL SALES DATA.'!H762&gt;AVERAGE('RETAIL SALES DATA.'!H762:H1761),"HIGHEST VALUE","LOWEST VALUE")</f>
        <v>LOWEST VALUE</v>
      </c>
      <c r="S762" t="str">
        <f t="shared" si="101"/>
        <v>Profit</v>
      </c>
      <c r="T762" t="str">
        <f t="shared" si="102"/>
        <v>Mackenzie Martinez</v>
      </c>
      <c r="U762" t="str">
        <f t="shared" si="103"/>
        <v>Monitor</v>
      </c>
      <c r="V762">
        <f t="shared" si="104"/>
        <v>2026</v>
      </c>
      <c r="W762">
        <f t="shared" si="105"/>
        <v>1</v>
      </c>
      <c r="X762">
        <f t="shared" si="106"/>
        <v>8</v>
      </c>
      <c r="Y762" t="str">
        <f t="shared" si="107"/>
        <v>Jan</v>
      </c>
      <c r="Z762">
        <f t="shared" si="108"/>
        <v>7</v>
      </c>
    </row>
    <row r="763" spans="1:26" ht="15.75" customHeight="1" x14ac:dyDescent="0.3">
      <c r="A763" s="2" t="s">
        <v>1798</v>
      </c>
      <c r="B763" s="2" t="s">
        <v>1799</v>
      </c>
      <c r="C763" s="2" t="s">
        <v>57</v>
      </c>
      <c r="D763" s="2" t="s">
        <v>19</v>
      </c>
      <c r="E763" s="2" t="s">
        <v>32</v>
      </c>
      <c r="F763" s="2">
        <v>6</v>
      </c>
      <c r="G763" s="2">
        <v>1654.09</v>
      </c>
      <c r="H763" s="2">
        <v>9924.5400000000009</v>
      </c>
      <c r="I763" s="2">
        <v>7046.74</v>
      </c>
      <c r="J763" s="2">
        <v>2877.8</v>
      </c>
      <c r="K763" s="3">
        <v>45446</v>
      </c>
      <c r="L763" s="3">
        <v>45451</v>
      </c>
      <c r="M763" s="2" t="s">
        <v>21</v>
      </c>
      <c r="N763" s="2">
        <v>4</v>
      </c>
      <c r="O763" s="2" t="s">
        <v>343</v>
      </c>
      <c r="P763" s="25">
        <v>8.9</v>
      </c>
      <c r="Q763" t="str">
        <f t="shared" si="100"/>
        <v>0762</v>
      </c>
      <c r="R763" t="str">
        <f>IF('RETAIL SALES DATA.'!H763&gt;AVERAGE('RETAIL SALES DATA.'!H763:H1762),"HIGHEST VALUE","LOWEST VALUE")</f>
        <v>LOWEST VALUE</v>
      </c>
      <c r="S763" t="str">
        <f t="shared" si="101"/>
        <v>Profit</v>
      </c>
      <c r="T763" t="str">
        <f t="shared" si="102"/>
        <v>Samantha Salazar</v>
      </c>
      <c r="U763" t="str">
        <f t="shared" si="103"/>
        <v>Notebook</v>
      </c>
      <c r="V763">
        <f t="shared" si="104"/>
        <v>2024</v>
      </c>
      <c r="W763">
        <f t="shared" si="105"/>
        <v>6</v>
      </c>
      <c r="X763">
        <f t="shared" si="106"/>
        <v>3</v>
      </c>
      <c r="Y763" t="str">
        <f t="shared" si="107"/>
        <v>Jun</v>
      </c>
      <c r="Z763">
        <f t="shared" si="108"/>
        <v>5</v>
      </c>
    </row>
    <row r="764" spans="1:26" ht="15.75" customHeight="1" x14ac:dyDescent="0.3">
      <c r="A764" s="2" t="s">
        <v>1800</v>
      </c>
      <c r="B764" s="2" t="s">
        <v>1801</v>
      </c>
      <c r="C764" s="2" t="s">
        <v>62</v>
      </c>
      <c r="D764" s="2" t="s">
        <v>31</v>
      </c>
      <c r="E764" s="2" t="s">
        <v>32</v>
      </c>
      <c r="F764" s="2">
        <v>4</v>
      </c>
      <c r="G764" s="2">
        <v>2337.9699999999998</v>
      </c>
      <c r="H764" s="2">
        <v>9351.8799999999992</v>
      </c>
      <c r="I764" s="2">
        <v>8168.29</v>
      </c>
      <c r="J764" s="2">
        <v>1183.5899999999999</v>
      </c>
      <c r="K764" s="3">
        <v>45895</v>
      </c>
      <c r="L764" s="3">
        <v>45896</v>
      </c>
      <c r="M764" s="2" t="s">
        <v>58</v>
      </c>
      <c r="N764" s="2">
        <v>3</v>
      </c>
      <c r="O764" s="2" t="s">
        <v>267</v>
      </c>
      <c r="P764" s="25">
        <v>6.6</v>
      </c>
      <c r="Q764" t="str">
        <f t="shared" si="100"/>
        <v>0763</v>
      </c>
      <c r="R764" t="str">
        <f>IF('RETAIL SALES DATA.'!H764&gt;AVERAGE('RETAIL SALES DATA.'!H764:H1763),"HIGHEST VALUE","LOWEST VALUE")</f>
        <v>LOWEST VALUE</v>
      </c>
      <c r="S764" t="str">
        <f t="shared" si="101"/>
        <v>Profit</v>
      </c>
      <c r="T764" t="str">
        <f t="shared" si="102"/>
        <v>Mikayla Johnson</v>
      </c>
      <c r="U764" t="str">
        <f t="shared" si="103"/>
        <v>Table</v>
      </c>
      <c r="V764">
        <f t="shared" si="104"/>
        <v>2025</v>
      </c>
      <c r="W764">
        <f t="shared" si="105"/>
        <v>8</v>
      </c>
      <c r="X764">
        <f t="shared" si="106"/>
        <v>26</v>
      </c>
      <c r="Y764" t="str">
        <f t="shared" si="107"/>
        <v>Aug</v>
      </c>
      <c r="Z764">
        <f t="shared" si="108"/>
        <v>1</v>
      </c>
    </row>
    <row r="765" spans="1:26" ht="15.75" customHeight="1" x14ac:dyDescent="0.3">
      <c r="A765" s="2" t="s">
        <v>1802</v>
      </c>
      <c r="B765" s="2" t="s">
        <v>1803</v>
      </c>
      <c r="C765" s="2" t="s">
        <v>72</v>
      </c>
      <c r="D765" s="2" t="s">
        <v>31</v>
      </c>
      <c r="E765" s="2" t="s">
        <v>32</v>
      </c>
      <c r="F765" s="2">
        <v>17</v>
      </c>
      <c r="G765" s="2">
        <v>3549.19</v>
      </c>
      <c r="H765" s="2">
        <v>60336.23</v>
      </c>
      <c r="I765" s="2">
        <v>34356.01</v>
      </c>
      <c r="J765" s="2">
        <v>25980.22</v>
      </c>
      <c r="K765" s="3">
        <v>45735</v>
      </c>
      <c r="L765" s="3">
        <v>45739</v>
      </c>
      <c r="M765" s="2" t="s">
        <v>45</v>
      </c>
      <c r="N765" s="2">
        <v>1</v>
      </c>
      <c r="O765" s="2" t="s">
        <v>486</v>
      </c>
      <c r="P765" s="25">
        <v>6.2</v>
      </c>
      <c r="Q765" t="str">
        <f t="shared" si="100"/>
        <v>0764</v>
      </c>
      <c r="R765" t="str">
        <f>IF('RETAIL SALES DATA.'!H765&gt;AVERAGE('RETAIL SALES DATA.'!H765:H1764),"HIGHEST VALUE","LOWEST VALUE")</f>
        <v>HIGHEST VALUE</v>
      </c>
      <c r="S765" t="str">
        <f t="shared" si="101"/>
        <v>Profit</v>
      </c>
      <c r="T765" t="str">
        <f t="shared" si="102"/>
        <v>Scott Woods</v>
      </c>
      <c r="U765" t="str">
        <f t="shared" si="103"/>
        <v>Chair</v>
      </c>
      <c r="V765">
        <f t="shared" si="104"/>
        <v>2025</v>
      </c>
      <c r="W765">
        <f t="shared" si="105"/>
        <v>3</v>
      </c>
      <c r="X765">
        <f t="shared" si="106"/>
        <v>19</v>
      </c>
      <c r="Y765" t="str">
        <f t="shared" si="107"/>
        <v>Mar</v>
      </c>
      <c r="Z765">
        <f t="shared" si="108"/>
        <v>4</v>
      </c>
    </row>
    <row r="766" spans="1:26" ht="15.75" customHeight="1" x14ac:dyDescent="0.3">
      <c r="A766" s="2" t="s">
        <v>1804</v>
      </c>
      <c r="B766" s="2" t="s">
        <v>1805</v>
      </c>
      <c r="C766" s="2" t="s">
        <v>18</v>
      </c>
      <c r="D766" s="2" t="s">
        <v>19</v>
      </c>
      <c r="E766" s="2" t="s">
        <v>44</v>
      </c>
      <c r="F766" s="2">
        <v>8</v>
      </c>
      <c r="G766" s="2">
        <v>1200.45</v>
      </c>
      <c r="H766" s="2">
        <v>9603.6</v>
      </c>
      <c r="I766" s="2">
        <v>4810.6000000000004</v>
      </c>
      <c r="J766" s="2">
        <v>4793</v>
      </c>
      <c r="K766" s="3">
        <v>46018</v>
      </c>
      <c r="L766" s="3">
        <v>46027</v>
      </c>
      <c r="M766" s="2" t="s">
        <v>181</v>
      </c>
      <c r="N766" s="2">
        <v>1</v>
      </c>
      <c r="O766" s="2" t="s">
        <v>124</v>
      </c>
      <c r="P766" s="25">
        <v>9.1999999999999993</v>
      </c>
      <c r="Q766" t="str">
        <f t="shared" si="100"/>
        <v>0765</v>
      </c>
      <c r="R766" t="str">
        <f>IF('RETAIL SALES DATA.'!H766&gt;AVERAGE('RETAIL SALES DATA.'!H766:H1765),"HIGHEST VALUE","LOWEST VALUE")</f>
        <v>LOWEST VALUE</v>
      </c>
      <c r="S766" t="str">
        <f t="shared" si="101"/>
        <v>Profit</v>
      </c>
      <c r="T766" t="str">
        <f t="shared" si="102"/>
        <v>Tracey Huffman</v>
      </c>
      <c r="U766" t="str">
        <f t="shared" si="103"/>
        <v>Pen</v>
      </c>
      <c r="V766">
        <f t="shared" si="104"/>
        <v>2025</v>
      </c>
      <c r="W766">
        <f t="shared" si="105"/>
        <v>1</v>
      </c>
      <c r="X766">
        <f t="shared" si="106"/>
        <v>27</v>
      </c>
      <c r="Y766" t="str">
        <f t="shared" si="107"/>
        <v>Dec</v>
      </c>
      <c r="Z766">
        <f t="shared" si="108"/>
        <v>9</v>
      </c>
    </row>
    <row r="767" spans="1:26" ht="15.75" customHeight="1" x14ac:dyDescent="0.3">
      <c r="A767" s="2" t="s">
        <v>1806</v>
      </c>
      <c r="B767" s="2" t="s">
        <v>1807</v>
      </c>
      <c r="C767" s="2" t="s">
        <v>168</v>
      </c>
      <c r="D767" s="2" t="s">
        <v>43</v>
      </c>
      <c r="E767" s="2" t="s">
        <v>44</v>
      </c>
      <c r="F767" s="2">
        <v>15</v>
      </c>
      <c r="G767" s="2">
        <v>4408.63</v>
      </c>
      <c r="H767" s="2">
        <v>66129.45</v>
      </c>
      <c r="I767" s="2">
        <v>59403.4</v>
      </c>
      <c r="J767" s="2">
        <v>6726.05</v>
      </c>
      <c r="K767" s="3">
        <v>46047</v>
      </c>
      <c r="L767" s="3">
        <v>46052</v>
      </c>
      <c r="M767" s="2" t="s">
        <v>58</v>
      </c>
      <c r="N767" s="2">
        <v>1</v>
      </c>
      <c r="O767" s="2" t="s">
        <v>409</v>
      </c>
      <c r="P767" s="25">
        <v>8.4</v>
      </c>
      <c r="Q767" t="str">
        <f t="shared" si="100"/>
        <v>0766</v>
      </c>
      <c r="R767" t="str">
        <f>IF('RETAIL SALES DATA.'!H767&gt;AVERAGE('RETAIL SALES DATA.'!H767:H1766),"HIGHEST VALUE","LOWEST VALUE")</f>
        <v>HIGHEST VALUE</v>
      </c>
      <c r="S767" t="str">
        <f t="shared" si="101"/>
        <v>Profit</v>
      </c>
      <c r="T767" t="str">
        <f t="shared" si="102"/>
        <v>Courtney Long</v>
      </c>
      <c r="U767" t="str">
        <f t="shared" si="103"/>
        <v>Keyboard</v>
      </c>
      <c r="V767">
        <f t="shared" si="104"/>
        <v>2026</v>
      </c>
      <c r="W767">
        <f t="shared" si="105"/>
        <v>1</v>
      </c>
      <c r="X767">
        <f t="shared" si="106"/>
        <v>25</v>
      </c>
      <c r="Y767" t="str">
        <f t="shared" si="107"/>
        <v>Jan</v>
      </c>
      <c r="Z767">
        <f t="shared" si="108"/>
        <v>5</v>
      </c>
    </row>
    <row r="768" spans="1:26" ht="15.75" customHeight="1" x14ac:dyDescent="0.3">
      <c r="A768" s="2" t="s">
        <v>1808</v>
      </c>
      <c r="B768" s="2" t="s">
        <v>1809</v>
      </c>
      <c r="C768" s="2" t="s">
        <v>30</v>
      </c>
      <c r="D768" s="2" t="s">
        <v>31</v>
      </c>
      <c r="E768" s="2" t="s">
        <v>20</v>
      </c>
      <c r="F768" s="2">
        <v>11</v>
      </c>
      <c r="G768" s="2">
        <v>4829</v>
      </c>
      <c r="H768" s="2">
        <v>53119</v>
      </c>
      <c r="I768" s="2">
        <v>28204.25</v>
      </c>
      <c r="J768" s="2">
        <v>24914.75</v>
      </c>
      <c r="K768" s="3">
        <v>45730</v>
      </c>
      <c r="L768" s="3">
        <v>45736</v>
      </c>
      <c r="M768" s="2" t="s">
        <v>21</v>
      </c>
      <c r="N768" s="2">
        <v>3</v>
      </c>
      <c r="O768" s="2" t="s">
        <v>394</v>
      </c>
      <c r="P768" s="25">
        <v>9.1999999999999993</v>
      </c>
      <c r="Q768" t="str">
        <f t="shared" si="100"/>
        <v>0767</v>
      </c>
      <c r="R768" t="str">
        <f>IF('RETAIL SALES DATA.'!H768&gt;AVERAGE('RETAIL SALES DATA.'!H768:H1767),"HIGHEST VALUE","LOWEST VALUE")</f>
        <v>HIGHEST VALUE</v>
      </c>
      <c r="S768" t="str">
        <f t="shared" si="101"/>
        <v>Profit</v>
      </c>
      <c r="T768" t="str">
        <f t="shared" si="102"/>
        <v>John Sawyer</v>
      </c>
      <c r="U768" t="str">
        <f t="shared" si="103"/>
        <v>Desk</v>
      </c>
      <c r="V768">
        <f t="shared" si="104"/>
        <v>2025</v>
      </c>
      <c r="W768">
        <f t="shared" si="105"/>
        <v>3</v>
      </c>
      <c r="X768">
        <f t="shared" si="106"/>
        <v>14</v>
      </c>
      <c r="Y768" t="str">
        <f t="shared" si="107"/>
        <v>Mar</v>
      </c>
      <c r="Z768">
        <f t="shared" si="108"/>
        <v>6</v>
      </c>
    </row>
    <row r="769" spans="1:26" ht="15.75" customHeight="1" x14ac:dyDescent="0.3">
      <c r="A769" s="2" t="s">
        <v>1810</v>
      </c>
      <c r="B769" s="2" t="s">
        <v>1811</v>
      </c>
      <c r="C769" s="2" t="s">
        <v>139</v>
      </c>
      <c r="D769" s="2" t="s">
        <v>31</v>
      </c>
      <c r="E769" s="2" t="s">
        <v>44</v>
      </c>
      <c r="F769" s="2">
        <v>18</v>
      </c>
      <c r="G769" s="2">
        <v>1640.2</v>
      </c>
      <c r="H769" s="2">
        <v>29523.599999999999</v>
      </c>
      <c r="I769" s="2">
        <v>22888.29</v>
      </c>
      <c r="J769" s="2">
        <v>6635.31</v>
      </c>
      <c r="K769" s="3">
        <v>45777</v>
      </c>
      <c r="L769" s="3">
        <v>45778</v>
      </c>
      <c r="M769" s="2" t="s">
        <v>45</v>
      </c>
      <c r="N769" s="2">
        <v>5</v>
      </c>
      <c r="O769" s="2" t="s">
        <v>300</v>
      </c>
      <c r="P769" s="25">
        <v>7</v>
      </c>
      <c r="Q769" t="str">
        <f t="shared" si="100"/>
        <v>0768</v>
      </c>
      <c r="R769" t="str">
        <f>IF('RETAIL SALES DATA.'!H769&gt;AVERAGE('RETAIL SALES DATA.'!H769:H1768),"HIGHEST VALUE","LOWEST VALUE")</f>
        <v>HIGHEST VALUE</v>
      </c>
      <c r="S769" t="str">
        <f t="shared" si="101"/>
        <v>Profit</v>
      </c>
      <c r="T769" t="str">
        <f t="shared" si="102"/>
        <v>Christopher Gates</v>
      </c>
      <c r="U769" t="str">
        <f t="shared" si="103"/>
        <v>Sofa</v>
      </c>
      <c r="V769">
        <f t="shared" si="104"/>
        <v>2025</v>
      </c>
      <c r="W769">
        <f t="shared" si="105"/>
        <v>5</v>
      </c>
      <c r="X769">
        <f t="shared" si="106"/>
        <v>30</v>
      </c>
      <c r="Y769" t="str">
        <f t="shared" si="107"/>
        <v>Apr</v>
      </c>
      <c r="Z769">
        <f t="shared" si="108"/>
        <v>1</v>
      </c>
    </row>
    <row r="770" spans="1:26" ht="15.75" customHeight="1" x14ac:dyDescent="0.3">
      <c r="A770" s="2" t="s">
        <v>1812</v>
      </c>
      <c r="B770" s="2" t="s">
        <v>213</v>
      </c>
      <c r="C770" s="2" t="s">
        <v>57</v>
      </c>
      <c r="D770" s="2" t="s">
        <v>19</v>
      </c>
      <c r="E770" s="2" t="s">
        <v>25</v>
      </c>
      <c r="F770" s="2">
        <v>9</v>
      </c>
      <c r="G770" s="2">
        <v>1438.93</v>
      </c>
      <c r="H770" s="2">
        <v>12950.37</v>
      </c>
      <c r="I770" s="2">
        <v>11545.31</v>
      </c>
      <c r="J770" s="2">
        <v>1405.06</v>
      </c>
      <c r="K770" s="3">
        <v>45568</v>
      </c>
      <c r="L770" s="3">
        <v>45570</v>
      </c>
      <c r="M770" s="2" t="s">
        <v>21</v>
      </c>
      <c r="N770" s="2">
        <v>4</v>
      </c>
      <c r="O770" s="2" t="s">
        <v>359</v>
      </c>
      <c r="P770" s="25">
        <v>8.8000000000000007</v>
      </c>
      <c r="Q770" t="str">
        <f t="shared" si="100"/>
        <v>0769</v>
      </c>
      <c r="R770" t="str">
        <f>IF('RETAIL SALES DATA.'!H770&gt;AVERAGE('RETAIL SALES DATA.'!H770:H1769),"HIGHEST VALUE","LOWEST VALUE")</f>
        <v>LOWEST VALUE</v>
      </c>
      <c r="S770" t="str">
        <f t="shared" si="101"/>
        <v>Profit</v>
      </c>
      <c r="T770" t="str">
        <f t="shared" si="102"/>
        <v>Christopher Richardson</v>
      </c>
      <c r="U770" t="str">
        <f t="shared" si="103"/>
        <v>Notebook</v>
      </c>
      <c r="V770">
        <f t="shared" si="104"/>
        <v>2024</v>
      </c>
      <c r="W770">
        <f t="shared" si="105"/>
        <v>10</v>
      </c>
      <c r="X770">
        <f t="shared" si="106"/>
        <v>3</v>
      </c>
      <c r="Y770" t="str">
        <f t="shared" si="107"/>
        <v>Oct</v>
      </c>
      <c r="Z770">
        <f t="shared" si="108"/>
        <v>2</v>
      </c>
    </row>
    <row r="771" spans="1:26" ht="15.75" customHeight="1" x14ac:dyDescent="0.3">
      <c r="A771" s="2" t="s">
        <v>1813</v>
      </c>
      <c r="B771" s="2" t="s">
        <v>1814</v>
      </c>
      <c r="C771" s="2" t="s">
        <v>49</v>
      </c>
      <c r="D771" s="2" t="s">
        <v>43</v>
      </c>
      <c r="E771" s="2" t="s">
        <v>20</v>
      </c>
      <c r="F771" s="2">
        <v>17</v>
      </c>
      <c r="G771" s="2">
        <v>2698.4</v>
      </c>
      <c r="H771" s="2">
        <v>45872.800000000003</v>
      </c>
      <c r="I771" s="2">
        <v>33154.620000000003</v>
      </c>
      <c r="J771" s="2">
        <v>12718.18</v>
      </c>
      <c r="K771" s="3">
        <v>45502</v>
      </c>
      <c r="L771" s="3">
        <v>45507</v>
      </c>
      <c r="M771" s="2" t="s">
        <v>45</v>
      </c>
      <c r="N771" s="2">
        <v>5</v>
      </c>
      <c r="O771" s="2" t="s">
        <v>232</v>
      </c>
      <c r="P771" s="25">
        <v>9.6999999999999993</v>
      </c>
      <c r="Q771" t="str">
        <f t="shared" ref="Q771:Q834" si="109">RIGHT(A771,"4")</f>
        <v>0770</v>
      </c>
      <c r="R771" t="str">
        <f>IF('RETAIL SALES DATA.'!H771&gt;AVERAGE('RETAIL SALES DATA.'!H771:H1770),"HIGHEST VALUE","LOWEST VALUE")</f>
        <v>HIGHEST VALUE</v>
      </c>
      <c r="S771" t="str">
        <f t="shared" ref="S771:S834" si="110">IF(J771&gt;0,"Profit","Loss")</f>
        <v>Profit</v>
      </c>
      <c r="T771" t="str">
        <f t="shared" ref="T771:T834" si="111">PROPER(B771)</f>
        <v>William Stewart</v>
      </c>
      <c r="U771" t="str">
        <f t="shared" ref="U771:U834" si="112">PROPER(C771)</f>
        <v>Mouse</v>
      </c>
      <c r="V771">
        <f t="shared" ref="V771:V834" si="113">YEAR(K771)</f>
        <v>2024</v>
      </c>
      <c r="W771">
        <f t="shared" ref="W771:W834" si="114">MONTH(L771)</f>
        <v>8</v>
      </c>
      <c r="X771">
        <f t="shared" ref="X771:X834" si="115">DAY(K771)</f>
        <v>29</v>
      </c>
      <c r="Y771" t="str">
        <f t="shared" ref="Y771:Y834" si="116">TEXT(K771,"MMM")</f>
        <v>Jul</v>
      </c>
      <c r="Z771">
        <f t="shared" ref="Z771:Z834" si="117">L771-K771</f>
        <v>5</v>
      </c>
    </row>
    <row r="772" spans="1:26" ht="15.75" customHeight="1" x14ac:dyDescent="0.3">
      <c r="A772" s="2" t="s">
        <v>1815</v>
      </c>
      <c r="B772" s="2" t="s">
        <v>1816</v>
      </c>
      <c r="C772" s="2" t="s">
        <v>168</v>
      </c>
      <c r="D772" s="2" t="s">
        <v>43</v>
      </c>
      <c r="E772" s="2" t="s">
        <v>32</v>
      </c>
      <c r="F772" s="2">
        <v>14</v>
      </c>
      <c r="G772" s="2">
        <v>3522.12</v>
      </c>
      <c r="H772" s="2">
        <v>49309.68</v>
      </c>
      <c r="I772" s="2">
        <v>40625.21</v>
      </c>
      <c r="J772" s="2">
        <v>8684.4699999999993</v>
      </c>
      <c r="K772" s="3">
        <v>45510</v>
      </c>
      <c r="L772" s="3">
        <v>45512</v>
      </c>
      <c r="M772" s="2" t="s">
        <v>45</v>
      </c>
      <c r="N772" s="2">
        <v>2</v>
      </c>
      <c r="O772" s="2" t="s">
        <v>192</v>
      </c>
      <c r="P772" s="25">
        <v>7.7</v>
      </c>
      <c r="Q772" t="str">
        <f t="shared" si="109"/>
        <v>0771</v>
      </c>
      <c r="R772" t="str">
        <f>IF('RETAIL SALES DATA.'!H772&gt;AVERAGE('RETAIL SALES DATA.'!H772:H1771),"HIGHEST VALUE","LOWEST VALUE")</f>
        <v>HIGHEST VALUE</v>
      </c>
      <c r="S772" t="str">
        <f t="shared" si="110"/>
        <v>Profit</v>
      </c>
      <c r="T772" t="str">
        <f t="shared" si="111"/>
        <v>Kathryn Gilbert</v>
      </c>
      <c r="U772" t="str">
        <f t="shared" si="112"/>
        <v>Keyboard</v>
      </c>
      <c r="V772">
        <f t="shared" si="113"/>
        <v>2024</v>
      </c>
      <c r="W772">
        <f t="shared" si="114"/>
        <v>8</v>
      </c>
      <c r="X772">
        <f t="shared" si="115"/>
        <v>6</v>
      </c>
      <c r="Y772" t="str">
        <f t="shared" si="116"/>
        <v>Aug</v>
      </c>
      <c r="Z772">
        <f t="shared" si="117"/>
        <v>2</v>
      </c>
    </row>
    <row r="773" spans="1:26" ht="15.75" customHeight="1" x14ac:dyDescent="0.3">
      <c r="A773" s="2" t="s">
        <v>1817</v>
      </c>
      <c r="B773" s="2" t="s">
        <v>1818</v>
      </c>
      <c r="C773" s="2" t="s">
        <v>18</v>
      </c>
      <c r="D773" s="2" t="s">
        <v>19</v>
      </c>
      <c r="E773" s="2" t="s">
        <v>20</v>
      </c>
      <c r="F773" s="2">
        <v>9</v>
      </c>
      <c r="G773" s="2">
        <v>148.72999999999999</v>
      </c>
      <c r="H773" s="2">
        <v>1338.57</v>
      </c>
      <c r="I773" s="2">
        <v>1056.51</v>
      </c>
      <c r="J773" s="2">
        <v>282.06</v>
      </c>
      <c r="K773" s="3">
        <v>45879</v>
      </c>
      <c r="L773" s="3">
        <v>45887</v>
      </c>
      <c r="M773" s="2" t="s">
        <v>33</v>
      </c>
      <c r="N773" s="2">
        <v>4</v>
      </c>
      <c r="O773" s="2" t="s">
        <v>470</v>
      </c>
      <c r="P773" s="25">
        <v>9.1999999999999993</v>
      </c>
      <c r="Q773" t="str">
        <f t="shared" si="109"/>
        <v>0772</v>
      </c>
      <c r="R773" t="str">
        <f>IF('RETAIL SALES DATA.'!H773&gt;AVERAGE('RETAIL SALES DATA.'!H773:H1772),"HIGHEST VALUE","LOWEST VALUE")</f>
        <v>LOWEST VALUE</v>
      </c>
      <c r="S773" t="str">
        <f t="shared" si="110"/>
        <v>Profit</v>
      </c>
      <c r="T773" t="str">
        <f t="shared" si="111"/>
        <v>Kyle Castro</v>
      </c>
      <c r="U773" t="str">
        <f t="shared" si="112"/>
        <v>Pen</v>
      </c>
      <c r="V773">
        <f t="shared" si="113"/>
        <v>2025</v>
      </c>
      <c r="W773">
        <f t="shared" si="114"/>
        <v>8</v>
      </c>
      <c r="X773">
        <f t="shared" si="115"/>
        <v>10</v>
      </c>
      <c r="Y773" t="str">
        <f t="shared" si="116"/>
        <v>Aug</v>
      </c>
      <c r="Z773">
        <f t="shared" si="117"/>
        <v>8</v>
      </c>
    </row>
    <row r="774" spans="1:26" ht="15.75" customHeight="1" x14ac:dyDescent="0.3">
      <c r="A774" s="2" t="s">
        <v>1819</v>
      </c>
      <c r="B774" s="2" t="s">
        <v>1820</v>
      </c>
      <c r="C774" s="2" t="s">
        <v>139</v>
      </c>
      <c r="D774" s="2" t="s">
        <v>31</v>
      </c>
      <c r="E774" s="2" t="s">
        <v>32</v>
      </c>
      <c r="F774" s="2">
        <v>18</v>
      </c>
      <c r="G774" s="2">
        <v>2089.75</v>
      </c>
      <c r="H774" s="2">
        <v>37615.5</v>
      </c>
      <c r="I774" s="2">
        <v>20928.689999999999</v>
      </c>
      <c r="J774" s="2">
        <v>16686.810000000001</v>
      </c>
      <c r="K774" s="3">
        <v>45515</v>
      </c>
      <c r="L774" s="3">
        <v>45523</v>
      </c>
      <c r="M774" s="2" t="s">
        <v>45</v>
      </c>
      <c r="N774" s="2">
        <v>5</v>
      </c>
      <c r="O774" s="2" t="s">
        <v>423</v>
      </c>
      <c r="P774" s="25">
        <v>8.8000000000000007</v>
      </c>
      <c r="Q774" t="str">
        <f t="shared" si="109"/>
        <v>0773</v>
      </c>
      <c r="R774" t="str">
        <f>IF('RETAIL SALES DATA.'!H774&gt;AVERAGE('RETAIL SALES DATA.'!H774:H1773),"HIGHEST VALUE","LOWEST VALUE")</f>
        <v>HIGHEST VALUE</v>
      </c>
      <c r="S774" t="str">
        <f t="shared" si="110"/>
        <v>Profit</v>
      </c>
      <c r="T774" t="str">
        <f t="shared" si="111"/>
        <v>Sarah Wade</v>
      </c>
      <c r="U774" t="str">
        <f t="shared" si="112"/>
        <v>Sofa</v>
      </c>
      <c r="V774">
        <f t="shared" si="113"/>
        <v>2024</v>
      </c>
      <c r="W774">
        <f t="shared" si="114"/>
        <v>8</v>
      </c>
      <c r="X774">
        <f t="shared" si="115"/>
        <v>11</v>
      </c>
      <c r="Y774" t="str">
        <f t="shared" si="116"/>
        <v>Aug</v>
      </c>
      <c r="Z774">
        <f t="shared" si="117"/>
        <v>8</v>
      </c>
    </row>
    <row r="775" spans="1:26" ht="15.75" customHeight="1" x14ac:dyDescent="0.3">
      <c r="A775" s="2" t="s">
        <v>1821</v>
      </c>
      <c r="B775" s="2" t="s">
        <v>1822</v>
      </c>
      <c r="C775" s="2" t="s">
        <v>37</v>
      </c>
      <c r="D775" s="2" t="s">
        <v>19</v>
      </c>
      <c r="E775" s="2" t="s">
        <v>25</v>
      </c>
      <c r="F775" s="2">
        <v>9</v>
      </c>
      <c r="G775" s="2">
        <v>4151.63</v>
      </c>
      <c r="H775" s="2">
        <v>37364.67</v>
      </c>
      <c r="I775" s="2">
        <v>30051.41</v>
      </c>
      <c r="J775" s="2">
        <v>7313.26</v>
      </c>
      <c r="K775" s="3">
        <v>45820</v>
      </c>
      <c r="L775" s="3">
        <v>45826</v>
      </c>
      <c r="M775" s="2" t="s">
        <v>50</v>
      </c>
      <c r="N775" s="2">
        <v>4</v>
      </c>
      <c r="O775" s="2" t="s">
        <v>111</v>
      </c>
      <c r="P775" s="25">
        <v>9.8000000000000007</v>
      </c>
      <c r="Q775" t="str">
        <f t="shared" si="109"/>
        <v>0774</v>
      </c>
      <c r="R775" t="str">
        <f>IF('RETAIL SALES DATA.'!H775&gt;AVERAGE('RETAIL SALES DATA.'!H775:H1774),"HIGHEST VALUE","LOWEST VALUE")</f>
        <v>HIGHEST VALUE</v>
      </c>
      <c r="S775" t="str">
        <f t="shared" si="110"/>
        <v>Profit</v>
      </c>
      <c r="T775" t="str">
        <f t="shared" si="111"/>
        <v>Diane Garrett</v>
      </c>
      <c r="U775" t="str">
        <f t="shared" si="112"/>
        <v>Marker</v>
      </c>
      <c r="V775">
        <f t="shared" si="113"/>
        <v>2025</v>
      </c>
      <c r="W775">
        <f t="shared" si="114"/>
        <v>6</v>
      </c>
      <c r="X775">
        <f t="shared" si="115"/>
        <v>12</v>
      </c>
      <c r="Y775" t="str">
        <f t="shared" si="116"/>
        <v>Jun</v>
      </c>
      <c r="Z775">
        <f t="shared" si="117"/>
        <v>6</v>
      </c>
    </row>
    <row r="776" spans="1:26" ht="15.75" customHeight="1" x14ac:dyDescent="0.3">
      <c r="A776" s="2" t="s">
        <v>1823</v>
      </c>
      <c r="B776" s="2" t="s">
        <v>1824</v>
      </c>
      <c r="C776" s="2" t="s">
        <v>219</v>
      </c>
      <c r="D776" s="2" t="s">
        <v>43</v>
      </c>
      <c r="E776" s="2" t="s">
        <v>44</v>
      </c>
      <c r="F776" s="2">
        <v>20</v>
      </c>
      <c r="G776" s="2">
        <v>2093.87</v>
      </c>
      <c r="H776" s="2">
        <v>41877.4</v>
      </c>
      <c r="I776" s="2">
        <v>32314.44</v>
      </c>
      <c r="J776" s="2">
        <v>9562.9599999999991</v>
      </c>
      <c r="K776" s="3">
        <v>45941</v>
      </c>
      <c r="L776" s="3">
        <v>45948</v>
      </c>
      <c r="M776" s="2" t="s">
        <v>26</v>
      </c>
      <c r="N776" s="2">
        <v>1</v>
      </c>
      <c r="O776" s="2" t="s">
        <v>202</v>
      </c>
      <c r="P776" s="25">
        <v>6.4</v>
      </c>
      <c r="Q776" t="str">
        <f t="shared" si="109"/>
        <v>0775</v>
      </c>
      <c r="R776" t="str">
        <f>IF('RETAIL SALES DATA.'!H776&gt;AVERAGE('RETAIL SALES DATA.'!H776:H1775),"HIGHEST VALUE","LOWEST VALUE")</f>
        <v>HIGHEST VALUE</v>
      </c>
      <c r="S776" t="str">
        <f t="shared" si="110"/>
        <v>Profit</v>
      </c>
      <c r="T776" t="str">
        <f t="shared" si="111"/>
        <v>William Weaver</v>
      </c>
      <c r="U776" t="str">
        <f t="shared" si="112"/>
        <v>Smartphone</v>
      </c>
      <c r="V776">
        <f t="shared" si="113"/>
        <v>2025</v>
      </c>
      <c r="W776">
        <f t="shared" si="114"/>
        <v>10</v>
      </c>
      <c r="X776">
        <f t="shared" si="115"/>
        <v>11</v>
      </c>
      <c r="Y776" t="str">
        <f t="shared" si="116"/>
        <v>Oct</v>
      </c>
      <c r="Z776">
        <f t="shared" si="117"/>
        <v>7</v>
      </c>
    </row>
    <row r="777" spans="1:26" ht="15.75" customHeight="1" x14ac:dyDescent="0.3">
      <c r="A777" s="2" t="s">
        <v>1825</v>
      </c>
      <c r="B777" s="2" t="s">
        <v>1826</v>
      </c>
      <c r="C777" s="2" t="s">
        <v>62</v>
      </c>
      <c r="D777" s="2" t="s">
        <v>31</v>
      </c>
      <c r="E777" s="2" t="s">
        <v>20</v>
      </c>
      <c r="F777" s="2">
        <v>4</v>
      </c>
      <c r="G777" s="2">
        <v>2134.3000000000002</v>
      </c>
      <c r="H777" s="2">
        <v>8537.2000000000007</v>
      </c>
      <c r="I777" s="2">
        <v>7079.28</v>
      </c>
      <c r="J777" s="2">
        <v>1457.92</v>
      </c>
      <c r="K777" s="3">
        <v>45778</v>
      </c>
      <c r="L777" s="3">
        <v>45786</v>
      </c>
      <c r="M777" s="2" t="s">
        <v>69</v>
      </c>
      <c r="N777" s="2">
        <v>1</v>
      </c>
      <c r="O777" s="2" t="s">
        <v>117</v>
      </c>
      <c r="P777" s="25">
        <v>7</v>
      </c>
      <c r="Q777" t="str">
        <f t="shared" si="109"/>
        <v>0776</v>
      </c>
      <c r="R777" t="str">
        <f>IF('RETAIL SALES DATA.'!H777&gt;AVERAGE('RETAIL SALES DATA.'!H777:H1776),"HIGHEST VALUE","LOWEST VALUE")</f>
        <v>LOWEST VALUE</v>
      </c>
      <c r="S777" t="str">
        <f t="shared" si="110"/>
        <v>Profit</v>
      </c>
      <c r="T777" t="str">
        <f t="shared" si="111"/>
        <v>Todd Pierce</v>
      </c>
      <c r="U777" t="str">
        <f t="shared" si="112"/>
        <v>Table</v>
      </c>
      <c r="V777">
        <f t="shared" si="113"/>
        <v>2025</v>
      </c>
      <c r="W777">
        <f t="shared" si="114"/>
        <v>5</v>
      </c>
      <c r="X777">
        <f t="shared" si="115"/>
        <v>1</v>
      </c>
      <c r="Y777" t="str">
        <f t="shared" si="116"/>
        <v>May</v>
      </c>
      <c r="Z777">
        <f t="shared" si="117"/>
        <v>8</v>
      </c>
    </row>
    <row r="778" spans="1:26" ht="15.75" customHeight="1" x14ac:dyDescent="0.3">
      <c r="A778" s="2" t="s">
        <v>1827</v>
      </c>
      <c r="B778" s="2" t="s">
        <v>1828</v>
      </c>
      <c r="C778" s="2" t="s">
        <v>219</v>
      </c>
      <c r="D778" s="2" t="s">
        <v>43</v>
      </c>
      <c r="E778" s="2" t="s">
        <v>32</v>
      </c>
      <c r="F778" s="2">
        <v>8</v>
      </c>
      <c r="G778" s="2">
        <v>2056.8000000000002</v>
      </c>
      <c r="H778" s="2">
        <v>16454.400000000001</v>
      </c>
      <c r="I778" s="2">
        <v>8896.24</v>
      </c>
      <c r="J778" s="2">
        <v>7558.16</v>
      </c>
      <c r="K778" s="3">
        <v>45564</v>
      </c>
      <c r="L778" s="3">
        <v>45574</v>
      </c>
      <c r="M778" s="2" t="s">
        <v>181</v>
      </c>
      <c r="N778" s="2">
        <v>4</v>
      </c>
      <c r="O778" s="2" t="s">
        <v>162</v>
      </c>
      <c r="P778" s="25">
        <v>6.2</v>
      </c>
      <c r="Q778" t="str">
        <f t="shared" si="109"/>
        <v>0777</v>
      </c>
      <c r="R778" t="str">
        <f>IF('RETAIL SALES DATA.'!H778&gt;AVERAGE('RETAIL SALES DATA.'!H778:H1777),"HIGHEST VALUE","LOWEST VALUE")</f>
        <v>LOWEST VALUE</v>
      </c>
      <c r="S778" t="str">
        <f t="shared" si="110"/>
        <v>Profit</v>
      </c>
      <c r="T778" t="str">
        <f t="shared" si="111"/>
        <v>Cheryl Green</v>
      </c>
      <c r="U778" t="str">
        <f t="shared" si="112"/>
        <v>Smartphone</v>
      </c>
      <c r="V778">
        <f t="shared" si="113"/>
        <v>2024</v>
      </c>
      <c r="W778">
        <f t="shared" si="114"/>
        <v>10</v>
      </c>
      <c r="X778">
        <f t="shared" si="115"/>
        <v>29</v>
      </c>
      <c r="Y778" t="str">
        <f t="shared" si="116"/>
        <v>Sep</v>
      </c>
      <c r="Z778">
        <f t="shared" si="117"/>
        <v>10</v>
      </c>
    </row>
    <row r="779" spans="1:26" ht="15.75" customHeight="1" x14ac:dyDescent="0.3">
      <c r="A779" s="2" t="s">
        <v>1829</v>
      </c>
      <c r="B779" s="2" t="s">
        <v>1830</v>
      </c>
      <c r="C779" s="2" t="s">
        <v>139</v>
      </c>
      <c r="D779" s="2" t="s">
        <v>31</v>
      </c>
      <c r="E779" s="2" t="s">
        <v>20</v>
      </c>
      <c r="F779" s="2">
        <v>4</v>
      </c>
      <c r="G779" s="2">
        <v>4359.8100000000004</v>
      </c>
      <c r="H779" s="2">
        <v>17439.240000000002</v>
      </c>
      <c r="I779" s="2">
        <v>14372.12</v>
      </c>
      <c r="J779" s="2">
        <v>3067.12</v>
      </c>
      <c r="K779" s="3">
        <v>45659</v>
      </c>
      <c r="L779" s="3">
        <v>45668</v>
      </c>
      <c r="M779" s="2" t="s">
        <v>58</v>
      </c>
      <c r="N779" s="2">
        <v>1</v>
      </c>
      <c r="O779" s="2" t="s">
        <v>1251</v>
      </c>
      <c r="P779" s="25">
        <v>8.9</v>
      </c>
      <c r="Q779" t="str">
        <f t="shared" si="109"/>
        <v>0778</v>
      </c>
      <c r="R779" t="str">
        <f>IF('RETAIL SALES DATA.'!H779&gt;AVERAGE('RETAIL SALES DATA.'!H779:H1778),"HIGHEST VALUE","LOWEST VALUE")</f>
        <v>LOWEST VALUE</v>
      </c>
      <c r="S779" t="str">
        <f t="shared" si="110"/>
        <v>Profit</v>
      </c>
      <c r="T779" t="str">
        <f t="shared" si="111"/>
        <v>Anna Bennett</v>
      </c>
      <c r="U779" t="str">
        <f t="shared" si="112"/>
        <v>Sofa</v>
      </c>
      <c r="V779">
        <f t="shared" si="113"/>
        <v>2025</v>
      </c>
      <c r="W779">
        <f t="shared" si="114"/>
        <v>1</v>
      </c>
      <c r="X779">
        <f t="shared" si="115"/>
        <v>2</v>
      </c>
      <c r="Y779" t="str">
        <f t="shared" si="116"/>
        <v>Jan</v>
      </c>
      <c r="Z779">
        <f t="shared" si="117"/>
        <v>9</v>
      </c>
    </row>
    <row r="780" spans="1:26" ht="15.75" customHeight="1" x14ac:dyDescent="0.3">
      <c r="A780" s="2" t="s">
        <v>1831</v>
      </c>
      <c r="B780" s="2" t="s">
        <v>1832</v>
      </c>
      <c r="C780" s="2" t="s">
        <v>88</v>
      </c>
      <c r="D780" s="2" t="s">
        <v>31</v>
      </c>
      <c r="E780" s="2" t="s">
        <v>32</v>
      </c>
      <c r="F780" s="2">
        <v>12</v>
      </c>
      <c r="G780" s="2">
        <v>3687.67</v>
      </c>
      <c r="H780" s="2">
        <v>44252.04</v>
      </c>
      <c r="I780" s="2">
        <v>30229.87</v>
      </c>
      <c r="J780" s="2">
        <v>14022.17</v>
      </c>
      <c r="K780" s="3">
        <v>45886</v>
      </c>
      <c r="L780" s="3">
        <v>45889</v>
      </c>
      <c r="M780" s="2" t="s">
        <v>69</v>
      </c>
      <c r="N780" s="2">
        <v>5</v>
      </c>
      <c r="O780" s="2" t="s">
        <v>1026</v>
      </c>
      <c r="P780" s="25">
        <v>7.3</v>
      </c>
      <c r="Q780" t="str">
        <f t="shared" si="109"/>
        <v>0779</v>
      </c>
      <c r="R780" t="str">
        <f>IF('RETAIL SALES DATA.'!H780&gt;AVERAGE('RETAIL SALES DATA.'!H780:H1779),"HIGHEST VALUE","LOWEST VALUE")</f>
        <v>HIGHEST VALUE</v>
      </c>
      <c r="S780" t="str">
        <f t="shared" si="110"/>
        <v>Profit</v>
      </c>
      <c r="T780" t="str">
        <f t="shared" si="111"/>
        <v>Brad Garcia</v>
      </c>
      <c r="U780" t="str">
        <f t="shared" si="112"/>
        <v>Cupboard</v>
      </c>
      <c r="V780">
        <f t="shared" si="113"/>
        <v>2025</v>
      </c>
      <c r="W780">
        <f t="shared" si="114"/>
        <v>8</v>
      </c>
      <c r="X780">
        <f t="shared" si="115"/>
        <v>17</v>
      </c>
      <c r="Y780" t="str">
        <f t="shared" si="116"/>
        <v>Aug</v>
      </c>
      <c r="Z780">
        <f t="shared" si="117"/>
        <v>3</v>
      </c>
    </row>
    <row r="781" spans="1:26" ht="15.75" customHeight="1" x14ac:dyDescent="0.3">
      <c r="A781" s="2" t="s">
        <v>1833</v>
      </c>
      <c r="B781" s="2" t="s">
        <v>1834</v>
      </c>
      <c r="C781" s="2" t="s">
        <v>57</v>
      </c>
      <c r="D781" s="2" t="s">
        <v>19</v>
      </c>
      <c r="E781" s="2" t="s">
        <v>44</v>
      </c>
      <c r="F781" s="2">
        <v>7</v>
      </c>
      <c r="G781" s="2">
        <v>4928.93</v>
      </c>
      <c r="H781" s="2">
        <v>34502.51</v>
      </c>
      <c r="I781" s="2">
        <v>23507.88</v>
      </c>
      <c r="J781" s="2">
        <v>10994.63</v>
      </c>
      <c r="K781" s="3">
        <v>45512</v>
      </c>
      <c r="L781" s="3">
        <v>45515</v>
      </c>
      <c r="M781" s="2" t="s">
        <v>58</v>
      </c>
      <c r="N781" s="2">
        <v>4</v>
      </c>
      <c r="O781" s="2" t="s">
        <v>375</v>
      </c>
      <c r="P781" s="25">
        <v>6.9</v>
      </c>
      <c r="Q781" t="str">
        <f t="shared" si="109"/>
        <v>0780</v>
      </c>
      <c r="R781" t="str">
        <f>IF('RETAIL SALES DATA.'!H781&gt;AVERAGE('RETAIL SALES DATA.'!H781:H1780),"HIGHEST VALUE","LOWEST VALUE")</f>
        <v>HIGHEST VALUE</v>
      </c>
      <c r="S781" t="str">
        <f t="shared" si="110"/>
        <v>Profit</v>
      </c>
      <c r="T781" t="str">
        <f t="shared" si="111"/>
        <v>Erica Marquez</v>
      </c>
      <c r="U781" t="str">
        <f t="shared" si="112"/>
        <v>Notebook</v>
      </c>
      <c r="V781">
        <f t="shared" si="113"/>
        <v>2024</v>
      </c>
      <c r="W781">
        <f t="shared" si="114"/>
        <v>8</v>
      </c>
      <c r="X781">
        <f t="shared" si="115"/>
        <v>8</v>
      </c>
      <c r="Y781" t="str">
        <f t="shared" si="116"/>
        <v>Aug</v>
      </c>
      <c r="Z781">
        <f t="shared" si="117"/>
        <v>3</v>
      </c>
    </row>
    <row r="782" spans="1:26" ht="15.75" customHeight="1" x14ac:dyDescent="0.3">
      <c r="A782" s="2" t="s">
        <v>1835</v>
      </c>
      <c r="B782" s="2" t="s">
        <v>1836</v>
      </c>
      <c r="C782" s="2" t="s">
        <v>95</v>
      </c>
      <c r="D782" s="2" t="s">
        <v>19</v>
      </c>
      <c r="E782" s="2" t="s">
        <v>20</v>
      </c>
      <c r="F782" s="2">
        <v>17</v>
      </c>
      <c r="G782" s="2">
        <v>3721.15</v>
      </c>
      <c r="H782" s="2">
        <v>63259.55</v>
      </c>
      <c r="I782" s="2">
        <v>46178.47</v>
      </c>
      <c r="J782" s="2">
        <v>17081.080000000002</v>
      </c>
      <c r="K782" s="3">
        <v>45512</v>
      </c>
      <c r="L782" s="3">
        <v>45515</v>
      </c>
      <c r="M782" s="2" t="s">
        <v>33</v>
      </c>
      <c r="N782" s="2">
        <v>1</v>
      </c>
      <c r="O782" s="2" t="s">
        <v>229</v>
      </c>
      <c r="P782" s="25">
        <v>9.4</v>
      </c>
      <c r="Q782" t="str">
        <f t="shared" si="109"/>
        <v>0781</v>
      </c>
      <c r="R782" t="str">
        <f>IF('RETAIL SALES DATA.'!H782&gt;AVERAGE('RETAIL SALES DATA.'!H782:H1781),"HIGHEST VALUE","LOWEST VALUE")</f>
        <v>HIGHEST VALUE</v>
      </c>
      <c r="S782" t="str">
        <f t="shared" si="110"/>
        <v>Profit</v>
      </c>
      <c r="T782" t="str">
        <f t="shared" si="111"/>
        <v>Jennifer Ward</v>
      </c>
      <c r="U782" t="str">
        <f t="shared" si="112"/>
        <v>Printer</v>
      </c>
      <c r="V782">
        <f t="shared" si="113"/>
        <v>2024</v>
      </c>
      <c r="W782">
        <f t="shared" si="114"/>
        <v>8</v>
      </c>
      <c r="X782">
        <f t="shared" si="115"/>
        <v>8</v>
      </c>
      <c r="Y782" t="str">
        <f t="shared" si="116"/>
        <v>Aug</v>
      </c>
      <c r="Z782">
        <f t="shared" si="117"/>
        <v>3</v>
      </c>
    </row>
    <row r="783" spans="1:26" ht="15.75" customHeight="1" x14ac:dyDescent="0.3">
      <c r="A783" s="2" t="s">
        <v>1837</v>
      </c>
      <c r="B783" s="2" t="s">
        <v>1838</v>
      </c>
      <c r="C783" s="2" t="s">
        <v>62</v>
      </c>
      <c r="D783" s="2" t="s">
        <v>31</v>
      </c>
      <c r="E783" s="2" t="s">
        <v>32</v>
      </c>
      <c r="F783" s="2">
        <v>12</v>
      </c>
      <c r="G783" s="2">
        <v>3448.53</v>
      </c>
      <c r="H783" s="2">
        <v>41382.36</v>
      </c>
      <c r="I783" s="2">
        <v>29860.93</v>
      </c>
      <c r="J783" s="2">
        <v>11521.43</v>
      </c>
      <c r="K783" s="3">
        <v>45960</v>
      </c>
      <c r="L783" s="3">
        <v>45969</v>
      </c>
      <c r="M783" s="2" t="s">
        <v>69</v>
      </c>
      <c r="N783" s="2">
        <v>2</v>
      </c>
      <c r="O783" s="2" t="s">
        <v>297</v>
      </c>
      <c r="P783" s="25">
        <v>8.3000000000000007</v>
      </c>
      <c r="Q783" t="str">
        <f t="shared" si="109"/>
        <v>0782</v>
      </c>
      <c r="R783" t="str">
        <f>IF('RETAIL SALES DATA.'!H783&gt;AVERAGE('RETAIL SALES DATA.'!H783:H1782),"HIGHEST VALUE","LOWEST VALUE")</f>
        <v>HIGHEST VALUE</v>
      </c>
      <c r="S783" t="str">
        <f t="shared" si="110"/>
        <v>Profit</v>
      </c>
      <c r="T783" t="str">
        <f t="shared" si="111"/>
        <v>Samuel Maxwell</v>
      </c>
      <c r="U783" t="str">
        <f t="shared" si="112"/>
        <v>Table</v>
      </c>
      <c r="V783">
        <f t="shared" si="113"/>
        <v>2025</v>
      </c>
      <c r="W783">
        <f t="shared" si="114"/>
        <v>11</v>
      </c>
      <c r="X783">
        <f t="shared" si="115"/>
        <v>30</v>
      </c>
      <c r="Y783" t="str">
        <f t="shared" si="116"/>
        <v>Oct</v>
      </c>
      <c r="Z783">
        <f t="shared" si="117"/>
        <v>9</v>
      </c>
    </row>
    <row r="784" spans="1:26" ht="15.75" customHeight="1" x14ac:dyDescent="0.3">
      <c r="A784" s="2" t="s">
        <v>1839</v>
      </c>
      <c r="B784" s="2" t="s">
        <v>1840</v>
      </c>
      <c r="C784" s="2" t="s">
        <v>139</v>
      </c>
      <c r="D784" s="2" t="s">
        <v>31</v>
      </c>
      <c r="E784" s="2" t="s">
        <v>44</v>
      </c>
      <c r="F784" s="2">
        <v>7</v>
      </c>
      <c r="G784" s="2">
        <v>2546.3200000000002</v>
      </c>
      <c r="H784" s="2">
        <v>17824.240000000002</v>
      </c>
      <c r="I784" s="2">
        <v>14118.45</v>
      </c>
      <c r="J784" s="2">
        <v>3705.79</v>
      </c>
      <c r="K784" s="3">
        <v>45631</v>
      </c>
      <c r="L784" s="3">
        <v>45633</v>
      </c>
      <c r="M784" s="2" t="s">
        <v>26</v>
      </c>
      <c r="N784" s="2">
        <v>3</v>
      </c>
      <c r="O784" s="2" t="s">
        <v>251</v>
      </c>
      <c r="P784" s="25">
        <v>8.6999999999999993</v>
      </c>
      <c r="Q784" t="str">
        <f t="shared" si="109"/>
        <v>0783</v>
      </c>
      <c r="R784" t="str">
        <f>IF('RETAIL SALES DATA.'!H784&gt;AVERAGE('RETAIL SALES DATA.'!H784:H1783),"HIGHEST VALUE","LOWEST VALUE")</f>
        <v>LOWEST VALUE</v>
      </c>
      <c r="S784" t="str">
        <f t="shared" si="110"/>
        <v>Profit</v>
      </c>
      <c r="T784" t="str">
        <f t="shared" si="111"/>
        <v>Whitney Williams</v>
      </c>
      <c r="U784" t="str">
        <f t="shared" si="112"/>
        <v>Sofa</v>
      </c>
      <c r="V784">
        <f t="shared" si="113"/>
        <v>2024</v>
      </c>
      <c r="W784">
        <f t="shared" si="114"/>
        <v>12</v>
      </c>
      <c r="X784">
        <f t="shared" si="115"/>
        <v>5</v>
      </c>
      <c r="Y784" t="str">
        <f t="shared" si="116"/>
        <v>Dec</v>
      </c>
      <c r="Z784">
        <f t="shared" si="117"/>
        <v>2</v>
      </c>
    </row>
    <row r="785" spans="1:26" ht="15.75" customHeight="1" x14ac:dyDescent="0.3">
      <c r="A785" s="2" t="s">
        <v>1841</v>
      </c>
      <c r="B785" s="2" t="s">
        <v>1842</v>
      </c>
      <c r="C785" s="2" t="s">
        <v>88</v>
      </c>
      <c r="D785" s="2" t="s">
        <v>31</v>
      </c>
      <c r="E785" s="2" t="s">
        <v>20</v>
      </c>
      <c r="F785" s="2">
        <v>4</v>
      </c>
      <c r="G785" s="2">
        <v>1770.76</v>
      </c>
      <c r="H785" s="2">
        <v>7083.04</v>
      </c>
      <c r="I785" s="2">
        <v>6091.34</v>
      </c>
      <c r="J785" s="2">
        <v>991.7</v>
      </c>
      <c r="K785" s="3">
        <v>45890</v>
      </c>
      <c r="L785" s="3">
        <v>45897</v>
      </c>
      <c r="M785" s="2" t="s">
        <v>69</v>
      </c>
      <c r="N785" s="2">
        <v>4</v>
      </c>
      <c r="O785" s="2" t="s">
        <v>799</v>
      </c>
      <c r="P785" s="25">
        <v>6.6</v>
      </c>
      <c r="Q785" t="str">
        <f t="shared" si="109"/>
        <v>0784</v>
      </c>
      <c r="R785" t="str">
        <f>IF('RETAIL SALES DATA.'!H785&gt;AVERAGE('RETAIL SALES DATA.'!H785:H1784),"HIGHEST VALUE","LOWEST VALUE")</f>
        <v>LOWEST VALUE</v>
      </c>
      <c r="S785" t="str">
        <f t="shared" si="110"/>
        <v>Profit</v>
      </c>
      <c r="T785" t="str">
        <f t="shared" si="111"/>
        <v>Kimberly Martin</v>
      </c>
      <c r="U785" t="str">
        <f t="shared" si="112"/>
        <v>Cupboard</v>
      </c>
      <c r="V785">
        <f t="shared" si="113"/>
        <v>2025</v>
      </c>
      <c r="W785">
        <f t="shared" si="114"/>
        <v>8</v>
      </c>
      <c r="X785">
        <f t="shared" si="115"/>
        <v>21</v>
      </c>
      <c r="Y785" t="str">
        <f t="shared" si="116"/>
        <v>Aug</v>
      </c>
      <c r="Z785">
        <f t="shared" si="117"/>
        <v>7</v>
      </c>
    </row>
    <row r="786" spans="1:26" ht="15.75" customHeight="1" x14ac:dyDescent="0.3">
      <c r="A786" s="2" t="s">
        <v>1843</v>
      </c>
      <c r="B786" s="2" t="s">
        <v>1844</v>
      </c>
      <c r="C786" s="2" t="s">
        <v>144</v>
      </c>
      <c r="D786" s="2" t="s">
        <v>19</v>
      </c>
      <c r="E786" s="2" t="s">
        <v>20</v>
      </c>
      <c r="F786" s="2">
        <v>15</v>
      </c>
      <c r="G786" s="2">
        <v>2719.31</v>
      </c>
      <c r="H786" s="2">
        <v>40789.65</v>
      </c>
      <c r="I786" s="2">
        <v>28732.6</v>
      </c>
      <c r="J786" s="2">
        <v>12057.05</v>
      </c>
      <c r="K786" s="3">
        <v>45536</v>
      </c>
      <c r="L786" s="3">
        <v>45540</v>
      </c>
      <c r="M786" s="2" t="s">
        <v>45</v>
      </c>
      <c r="N786" s="2">
        <v>3</v>
      </c>
      <c r="O786" s="2" t="s">
        <v>420</v>
      </c>
      <c r="P786" s="25">
        <v>8.9</v>
      </c>
      <c r="Q786" t="str">
        <f t="shared" si="109"/>
        <v>0785</v>
      </c>
      <c r="R786" t="str">
        <f>IF('RETAIL SALES DATA.'!H786&gt;AVERAGE('RETAIL SALES DATA.'!H786:H1785),"HIGHEST VALUE","LOWEST VALUE")</f>
        <v>HIGHEST VALUE</v>
      </c>
      <c r="S786" t="str">
        <f t="shared" si="110"/>
        <v>Profit</v>
      </c>
      <c r="T786" t="str">
        <f t="shared" si="111"/>
        <v>Gregg Montoya</v>
      </c>
      <c r="U786" t="str">
        <f t="shared" si="112"/>
        <v>File</v>
      </c>
      <c r="V786">
        <f t="shared" si="113"/>
        <v>2024</v>
      </c>
      <c r="W786">
        <f t="shared" si="114"/>
        <v>9</v>
      </c>
      <c r="X786">
        <f t="shared" si="115"/>
        <v>1</v>
      </c>
      <c r="Y786" t="str">
        <f t="shared" si="116"/>
        <v>Sep</v>
      </c>
      <c r="Z786">
        <f t="shared" si="117"/>
        <v>4</v>
      </c>
    </row>
    <row r="787" spans="1:26" ht="15.75" customHeight="1" x14ac:dyDescent="0.3">
      <c r="A787" s="2" t="s">
        <v>1845</v>
      </c>
      <c r="B787" s="2" t="s">
        <v>1846</v>
      </c>
      <c r="C787" s="2" t="s">
        <v>219</v>
      </c>
      <c r="D787" s="2" t="s">
        <v>43</v>
      </c>
      <c r="E787" s="2" t="s">
        <v>20</v>
      </c>
      <c r="F787" s="2">
        <v>1</v>
      </c>
      <c r="G787" s="2">
        <v>4538.92</v>
      </c>
      <c r="H787" s="2">
        <v>4538.92</v>
      </c>
      <c r="I787" s="2">
        <v>2677.66</v>
      </c>
      <c r="J787" s="2">
        <v>1861.26</v>
      </c>
      <c r="K787" s="3">
        <v>45806</v>
      </c>
      <c r="L787" s="3">
        <v>45809</v>
      </c>
      <c r="M787" s="2" t="s">
        <v>26</v>
      </c>
      <c r="N787" s="2">
        <v>5</v>
      </c>
      <c r="O787" s="2" t="s">
        <v>120</v>
      </c>
      <c r="P787" s="25">
        <v>8.4</v>
      </c>
      <c r="Q787" t="str">
        <f t="shared" si="109"/>
        <v>0786</v>
      </c>
      <c r="R787" t="str">
        <f>IF('RETAIL SALES DATA.'!H787&gt;AVERAGE('RETAIL SALES DATA.'!H787:H1786),"HIGHEST VALUE","LOWEST VALUE")</f>
        <v>LOWEST VALUE</v>
      </c>
      <c r="S787" t="str">
        <f t="shared" si="110"/>
        <v>Profit</v>
      </c>
      <c r="T787" t="str">
        <f t="shared" si="111"/>
        <v>Stephen Thomas</v>
      </c>
      <c r="U787" t="str">
        <f t="shared" si="112"/>
        <v>Smartphone</v>
      </c>
      <c r="V787">
        <f t="shared" si="113"/>
        <v>2025</v>
      </c>
      <c r="W787">
        <f t="shared" si="114"/>
        <v>6</v>
      </c>
      <c r="X787">
        <f t="shared" si="115"/>
        <v>29</v>
      </c>
      <c r="Y787" t="str">
        <f t="shared" si="116"/>
        <v>May</v>
      </c>
      <c r="Z787">
        <f t="shared" si="117"/>
        <v>3</v>
      </c>
    </row>
    <row r="788" spans="1:26" ht="15.75" customHeight="1" x14ac:dyDescent="0.3">
      <c r="A788" s="2" t="s">
        <v>1847</v>
      </c>
      <c r="B788" s="2" t="s">
        <v>1848</v>
      </c>
      <c r="C788" s="2" t="s">
        <v>168</v>
      </c>
      <c r="D788" s="2" t="s">
        <v>43</v>
      </c>
      <c r="E788" s="2" t="s">
        <v>32</v>
      </c>
      <c r="F788" s="2">
        <v>10</v>
      </c>
      <c r="G788" s="2">
        <v>1915.72</v>
      </c>
      <c r="H788" s="2">
        <v>19157.2</v>
      </c>
      <c r="I788" s="2">
        <v>11046.37</v>
      </c>
      <c r="J788" s="2">
        <v>8110.83</v>
      </c>
      <c r="K788" s="3">
        <v>45882</v>
      </c>
      <c r="L788" s="3">
        <v>45890</v>
      </c>
      <c r="M788" s="2" t="s">
        <v>45</v>
      </c>
      <c r="N788" s="2">
        <v>5</v>
      </c>
      <c r="O788" s="2" t="s">
        <v>1508</v>
      </c>
      <c r="P788" s="25">
        <v>6.8</v>
      </c>
      <c r="Q788" t="str">
        <f t="shared" si="109"/>
        <v>0787</v>
      </c>
      <c r="R788" t="str">
        <f>IF('RETAIL SALES DATA.'!H788&gt;AVERAGE('RETAIL SALES DATA.'!H788:H1787),"HIGHEST VALUE","LOWEST VALUE")</f>
        <v>LOWEST VALUE</v>
      </c>
      <c r="S788" t="str">
        <f t="shared" si="110"/>
        <v>Profit</v>
      </c>
      <c r="T788" t="str">
        <f t="shared" si="111"/>
        <v>Matthew Nash</v>
      </c>
      <c r="U788" t="str">
        <f t="shared" si="112"/>
        <v>Keyboard</v>
      </c>
      <c r="V788">
        <f t="shared" si="113"/>
        <v>2025</v>
      </c>
      <c r="W788">
        <f t="shared" si="114"/>
        <v>8</v>
      </c>
      <c r="X788">
        <f t="shared" si="115"/>
        <v>13</v>
      </c>
      <c r="Y788" t="str">
        <f t="shared" si="116"/>
        <v>Aug</v>
      </c>
      <c r="Z788">
        <f t="shared" si="117"/>
        <v>8</v>
      </c>
    </row>
    <row r="789" spans="1:26" ht="15.75" customHeight="1" x14ac:dyDescent="0.3">
      <c r="A789" s="2" t="s">
        <v>1849</v>
      </c>
      <c r="B789" s="2" t="s">
        <v>1850</v>
      </c>
      <c r="C789" s="2" t="s">
        <v>144</v>
      </c>
      <c r="D789" s="2" t="s">
        <v>19</v>
      </c>
      <c r="E789" s="2" t="s">
        <v>20</v>
      </c>
      <c r="F789" s="2">
        <v>11</v>
      </c>
      <c r="G789" s="2">
        <v>2430.2800000000002</v>
      </c>
      <c r="H789" s="2">
        <v>26733.08</v>
      </c>
      <c r="I789" s="2">
        <v>19424.919999999998</v>
      </c>
      <c r="J789" s="2">
        <v>7308.16</v>
      </c>
      <c r="K789" s="3">
        <v>45914</v>
      </c>
      <c r="L789" s="3">
        <v>45918</v>
      </c>
      <c r="M789" s="2" t="s">
        <v>33</v>
      </c>
      <c r="N789" s="2">
        <v>1</v>
      </c>
      <c r="O789" s="2" t="s">
        <v>551</v>
      </c>
      <c r="P789" s="25">
        <v>9.8000000000000007</v>
      </c>
      <c r="Q789" t="str">
        <f t="shared" si="109"/>
        <v>0788</v>
      </c>
      <c r="R789" t="str">
        <f>IF('RETAIL SALES DATA.'!H789&gt;AVERAGE('RETAIL SALES DATA.'!H789:H1788),"HIGHEST VALUE","LOWEST VALUE")</f>
        <v>LOWEST VALUE</v>
      </c>
      <c r="S789" t="str">
        <f t="shared" si="110"/>
        <v>Profit</v>
      </c>
      <c r="T789" t="str">
        <f t="shared" si="111"/>
        <v>Chris Carlson</v>
      </c>
      <c r="U789" t="str">
        <f t="shared" si="112"/>
        <v>File</v>
      </c>
      <c r="V789">
        <f t="shared" si="113"/>
        <v>2025</v>
      </c>
      <c r="W789">
        <f t="shared" si="114"/>
        <v>9</v>
      </c>
      <c r="X789">
        <f t="shared" si="115"/>
        <v>14</v>
      </c>
      <c r="Y789" t="str">
        <f t="shared" si="116"/>
        <v>Sep</v>
      </c>
      <c r="Z789">
        <f t="shared" si="117"/>
        <v>4</v>
      </c>
    </row>
    <row r="790" spans="1:26" ht="15.75" customHeight="1" x14ac:dyDescent="0.3">
      <c r="A790" s="2" t="s">
        <v>1851</v>
      </c>
      <c r="B790" s="2" t="s">
        <v>1852</v>
      </c>
      <c r="C790" s="2" t="s">
        <v>18</v>
      </c>
      <c r="D790" s="2" t="s">
        <v>19</v>
      </c>
      <c r="E790" s="2" t="s">
        <v>32</v>
      </c>
      <c r="F790" s="2">
        <v>13</v>
      </c>
      <c r="G790" s="2">
        <v>1263.05</v>
      </c>
      <c r="H790" s="2">
        <v>16419.650000000001</v>
      </c>
      <c r="I790" s="2">
        <v>9729.08</v>
      </c>
      <c r="J790" s="2">
        <v>6690.57</v>
      </c>
      <c r="K790" s="3">
        <v>45962</v>
      </c>
      <c r="L790" s="3">
        <v>45965</v>
      </c>
      <c r="M790" s="2" t="s">
        <v>26</v>
      </c>
      <c r="N790" s="2">
        <v>5</v>
      </c>
      <c r="O790" s="2" t="s">
        <v>34</v>
      </c>
      <c r="P790" s="25">
        <v>9.3000000000000007</v>
      </c>
      <c r="Q790" t="str">
        <f t="shared" si="109"/>
        <v>0789</v>
      </c>
      <c r="R790" t="str">
        <f>IF('RETAIL SALES DATA.'!H790&gt;AVERAGE('RETAIL SALES DATA.'!H790:H1789),"HIGHEST VALUE","LOWEST VALUE")</f>
        <v>LOWEST VALUE</v>
      </c>
      <c r="S790" t="str">
        <f t="shared" si="110"/>
        <v>Profit</v>
      </c>
      <c r="T790" t="str">
        <f t="shared" si="111"/>
        <v>Mark Morrison</v>
      </c>
      <c r="U790" t="str">
        <f t="shared" si="112"/>
        <v>Pen</v>
      </c>
      <c r="V790">
        <f t="shared" si="113"/>
        <v>2025</v>
      </c>
      <c r="W790">
        <f t="shared" si="114"/>
        <v>11</v>
      </c>
      <c r="X790">
        <f t="shared" si="115"/>
        <v>1</v>
      </c>
      <c r="Y790" t="str">
        <f t="shared" si="116"/>
        <v>Nov</v>
      </c>
      <c r="Z790">
        <f t="shared" si="117"/>
        <v>3</v>
      </c>
    </row>
    <row r="791" spans="1:26" ht="15.75" customHeight="1" x14ac:dyDescent="0.3">
      <c r="A791" s="2" t="s">
        <v>1853</v>
      </c>
      <c r="B791" s="2" t="s">
        <v>1854</v>
      </c>
      <c r="C791" s="2" t="s">
        <v>139</v>
      </c>
      <c r="D791" s="2" t="s">
        <v>31</v>
      </c>
      <c r="E791" s="2" t="s">
        <v>25</v>
      </c>
      <c r="F791" s="2">
        <v>18</v>
      </c>
      <c r="G791" s="2">
        <v>210.47</v>
      </c>
      <c r="H791" s="2">
        <v>3788.46</v>
      </c>
      <c r="I791" s="2">
        <v>3355.96</v>
      </c>
      <c r="J791" s="2">
        <v>432.5</v>
      </c>
      <c r="K791" s="3">
        <v>45448</v>
      </c>
      <c r="L791" s="3">
        <v>45456</v>
      </c>
      <c r="M791" s="2" t="s">
        <v>21</v>
      </c>
      <c r="N791" s="2">
        <v>2</v>
      </c>
      <c r="O791" s="2" t="s">
        <v>441</v>
      </c>
      <c r="P791" s="25">
        <v>6.5</v>
      </c>
      <c r="Q791" t="str">
        <f t="shared" si="109"/>
        <v>0790</v>
      </c>
      <c r="R791" t="str">
        <f>IF('RETAIL SALES DATA.'!H791&gt;AVERAGE('RETAIL SALES DATA.'!H791:H1790),"HIGHEST VALUE","LOWEST VALUE")</f>
        <v>LOWEST VALUE</v>
      </c>
      <c r="S791" t="str">
        <f t="shared" si="110"/>
        <v>Profit</v>
      </c>
      <c r="T791" t="str">
        <f t="shared" si="111"/>
        <v>Jeanne Jackson</v>
      </c>
      <c r="U791" t="str">
        <f t="shared" si="112"/>
        <v>Sofa</v>
      </c>
      <c r="V791">
        <f t="shared" si="113"/>
        <v>2024</v>
      </c>
      <c r="W791">
        <f t="shared" si="114"/>
        <v>6</v>
      </c>
      <c r="X791">
        <f t="shared" si="115"/>
        <v>5</v>
      </c>
      <c r="Y791" t="str">
        <f t="shared" si="116"/>
        <v>Jun</v>
      </c>
      <c r="Z791">
        <f t="shared" si="117"/>
        <v>8</v>
      </c>
    </row>
    <row r="792" spans="1:26" ht="15.75" customHeight="1" x14ac:dyDescent="0.3">
      <c r="A792" s="2" t="s">
        <v>1855</v>
      </c>
      <c r="B792" s="2" t="s">
        <v>1856</v>
      </c>
      <c r="C792" s="2" t="s">
        <v>219</v>
      </c>
      <c r="D792" s="2" t="s">
        <v>43</v>
      </c>
      <c r="E792" s="2" t="s">
        <v>20</v>
      </c>
      <c r="F792" s="2">
        <v>14</v>
      </c>
      <c r="G792" s="2">
        <v>4943.75</v>
      </c>
      <c r="H792" s="2">
        <v>69212.5</v>
      </c>
      <c r="I792" s="2">
        <v>36712.53</v>
      </c>
      <c r="J792" s="2">
        <v>32499.97</v>
      </c>
      <c r="K792" s="3">
        <v>45843</v>
      </c>
      <c r="L792" s="3">
        <v>45844</v>
      </c>
      <c r="M792" s="2" t="s">
        <v>33</v>
      </c>
      <c r="N792" s="2">
        <v>3</v>
      </c>
      <c r="O792" s="2" t="s">
        <v>749</v>
      </c>
      <c r="P792" s="25">
        <v>7.6</v>
      </c>
      <c r="Q792" t="str">
        <f t="shared" si="109"/>
        <v>0791</v>
      </c>
      <c r="R792" t="str">
        <f>IF('RETAIL SALES DATA.'!H792&gt;AVERAGE('RETAIL SALES DATA.'!H792:H1791),"HIGHEST VALUE","LOWEST VALUE")</f>
        <v>HIGHEST VALUE</v>
      </c>
      <c r="S792" t="str">
        <f t="shared" si="110"/>
        <v>Profit</v>
      </c>
      <c r="T792" t="str">
        <f t="shared" si="111"/>
        <v>Michelle Allen</v>
      </c>
      <c r="U792" t="str">
        <f t="shared" si="112"/>
        <v>Smartphone</v>
      </c>
      <c r="V792">
        <f t="shared" si="113"/>
        <v>2025</v>
      </c>
      <c r="W792">
        <f t="shared" si="114"/>
        <v>7</v>
      </c>
      <c r="X792">
        <f t="shared" si="115"/>
        <v>5</v>
      </c>
      <c r="Y792" t="str">
        <f t="shared" si="116"/>
        <v>Jul</v>
      </c>
      <c r="Z792">
        <f t="shared" si="117"/>
        <v>1</v>
      </c>
    </row>
    <row r="793" spans="1:26" ht="15.75" customHeight="1" x14ac:dyDescent="0.3">
      <c r="A793" s="2" t="s">
        <v>1857</v>
      </c>
      <c r="B793" s="2" t="s">
        <v>1858</v>
      </c>
      <c r="C793" s="2" t="s">
        <v>18</v>
      </c>
      <c r="D793" s="2" t="s">
        <v>19</v>
      </c>
      <c r="E793" s="2" t="s">
        <v>25</v>
      </c>
      <c r="F793" s="2">
        <v>1</v>
      </c>
      <c r="G793" s="2">
        <v>3104.26</v>
      </c>
      <c r="H793" s="2">
        <v>3104.26</v>
      </c>
      <c r="I793" s="2">
        <v>1667.37</v>
      </c>
      <c r="J793" s="2">
        <v>1436.89</v>
      </c>
      <c r="K793" s="3">
        <v>45746</v>
      </c>
      <c r="L793" s="3">
        <v>45752</v>
      </c>
      <c r="M793" s="2" t="s">
        <v>181</v>
      </c>
      <c r="N793" s="2">
        <v>3</v>
      </c>
      <c r="O793" s="2" t="s">
        <v>788</v>
      </c>
      <c r="P793" s="25">
        <v>6.8</v>
      </c>
      <c r="Q793" t="str">
        <f t="shared" si="109"/>
        <v>0792</v>
      </c>
      <c r="R793" t="str">
        <f>IF('RETAIL SALES DATA.'!H793&gt;AVERAGE('RETAIL SALES DATA.'!H793:H1792),"HIGHEST VALUE","LOWEST VALUE")</f>
        <v>LOWEST VALUE</v>
      </c>
      <c r="S793" t="str">
        <f t="shared" si="110"/>
        <v>Profit</v>
      </c>
      <c r="T793" t="str">
        <f t="shared" si="111"/>
        <v>Brenda Wright</v>
      </c>
      <c r="U793" t="str">
        <f t="shared" si="112"/>
        <v>Pen</v>
      </c>
      <c r="V793">
        <f t="shared" si="113"/>
        <v>2025</v>
      </c>
      <c r="W793">
        <f t="shared" si="114"/>
        <v>4</v>
      </c>
      <c r="X793">
        <f t="shared" si="115"/>
        <v>30</v>
      </c>
      <c r="Y793" t="str">
        <f t="shared" si="116"/>
        <v>Mar</v>
      </c>
      <c r="Z793">
        <f t="shared" si="117"/>
        <v>6</v>
      </c>
    </row>
    <row r="794" spans="1:26" ht="15.75" customHeight="1" x14ac:dyDescent="0.3">
      <c r="A794" s="2" t="s">
        <v>1859</v>
      </c>
      <c r="B794" s="2" t="s">
        <v>1860</v>
      </c>
      <c r="C794" s="2" t="s">
        <v>57</v>
      </c>
      <c r="D794" s="2" t="s">
        <v>19</v>
      </c>
      <c r="E794" s="2" t="s">
        <v>20</v>
      </c>
      <c r="F794" s="2">
        <v>8</v>
      </c>
      <c r="G794" s="2">
        <v>3375.88</v>
      </c>
      <c r="H794" s="2">
        <v>27007.040000000001</v>
      </c>
      <c r="I794" s="2">
        <v>20412.689999999999</v>
      </c>
      <c r="J794" s="2">
        <v>6594.35</v>
      </c>
      <c r="K794" s="3">
        <v>45519</v>
      </c>
      <c r="L794" s="3">
        <v>45529</v>
      </c>
      <c r="M794" s="2" t="s">
        <v>45</v>
      </c>
      <c r="N794" s="2">
        <v>3</v>
      </c>
      <c r="O794" s="2" t="s">
        <v>496</v>
      </c>
      <c r="P794" s="25">
        <v>7.3</v>
      </c>
      <c r="Q794" t="str">
        <f t="shared" si="109"/>
        <v>0793</v>
      </c>
      <c r="R794" t="str">
        <f>IF('RETAIL SALES DATA.'!H794&gt;AVERAGE('RETAIL SALES DATA.'!H794:H1793),"HIGHEST VALUE","LOWEST VALUE")</f>
        <v>LOWEST VALUE</v>
      </c>
      <c r="S794" t="str">
        <f t="shared" si="110"/>
        <v>Profit</v>
      </c>
      <c r="T794" t="str">
        <f t="shared" si="111"/>
        <v>Steve Juarez</v>
      </c>
      <c r="U794" t="str">
        <f t="shared" si="112"/>
        <v>Notebook</v>
      </c>
      <c r="V794">
        <f t="shared" si="113"/>
        <v>2024</v>
      </c>
      <c r="W794">
        <f t="shared" si="114"/>
        <v>8</v>
      </c>
      <c r="X794">
        <f t="shared" si="115"/>
        <v>15</v>
      </c>
      <c r="Y794" t="str">
        <f t="shared" si="116"/>
        <v>Aug</v>
      </c>
      <c r="Z794">
        <f t="shared" si="117"/>
        <v>10</v>
      </c>
    </row>
    <row r="795" spans="1:26" ht="15.75" customHeight="1" x14ac:dyDescent="0.3">
      <c r="A795" s="2" t="s">
        <v>1861</v>
      </c>
      <c r="B795" s="2" t="s">
        <v>1862</v>
      </c>
      <c r="C795" s="2" t="s">
        <v>88</v>
      </c>
      <c r="D795" s="2" t="s">
        <v>31</v>
      </c>
      <c r="E795" s="2" t="s">
        <v>32</v>
      </c>
      <c r="F795" s="2">
        <v>6</v>
      </c>
      <c r="G795" s="2">
        <v>332.6</v>
      </c>
      <c r="H795" s="2">
        <v>1995.6</v>
      </c>
      <c r="I795" s="2">
        <v>1123.8</v>
      </c>
      <c r="J795" s="2">
        <v>871.8</v>
      </c>
      <c r="K795" s="3">
        <v>45475</v>
      </c>
      <c r="L795" s="3">
        <v>45479</v>
      </c>
      <c r="M795" s="2" t="s">
        <v>38</v>
      </c>
      <c r="N795" s="2">
        <v>2</v>
      </c>
      <c r="O795" s="2" t="s">
        <v>1740</v>
      </c>
      <c r="P795" s="25">
        <v>9.9</v>
      </c>
      <c r="Q795" t="str">
        <f t="shared" si="109"/>
        <v>0794</v>
      </c>
      <c r="R795" t="str">
        <f>IF('RETAIL SALES DATA.'!H795&gt;AVERAGE('RETAIL SALES DATA.'!H795:H1794),"HIGHEST VALUE","LOWEST VALUE")</f>
        <v>LOWEST VALUE</v>
      </c>
      <c r="S795" t="str">
        <f t="shared" si="110"/>
        <v>Profit</v>
      </c>
      <c r="T795" t="str">
        <f t="shared" si="111"/>
        <v>James Mckinney</v>
      </c>
      <c r="U795" t="str">
        <f t="shared" si="112"/>
        <v>Cupboard</v>
      </c>
      <c r="V795">
        <f t="shared" si="113"/>
        <v>2024</v>
      </c>
      <c r="W795">
        <f t="shared" si="114"/>
        <v>7</v>
      </c>
      <c r="X795">
        <f t="shared" si="115"/>
        <v>2</v>
      </c>
      <c r="Y795" t="str">
        <f t="shared" si="116"/>
        <v>Jul</v>
      </c>
      <c r="Z795">
        <f t="shared" si="117"/>
        <v>4</v>
      </c>
    </row>
    <row r="796" spans="1:26" ht="15.75" customHeight="1" x14ac:dyDescent="0.3">
      <c r="A796" s="2" t="s">
        <v>1863</v>
      </c>
      <c r="B796" s="2" t="s">
        <v>1864</v>
      </c>
      <c r="C796" s="2" t="s">
        <v>219</v>
      </c>
      <c r="D796" s="2" t="s">
        <v>43</v>
      </c>
      <c r="E796" s="2" t="s">
        <v>20</v>
      </c>
      <c r="F796" s="2">
        <v>18</v>
      </c>
      <c r="G796" s="2">
        <v>4272.41</v>
      </c>
      <c r="H796" s="2">
        <v>76903.38</v>
      </c>
      <c r="I796" s="2">
        <v>60060.9</v>
      </c>
      <c r="J796" s="2">
        <v>16842.48</v>
      </c>
      <c r="K796" s="3">
        <v>45570</v>
      </c>
      <c r="L796" s="3">
        <v>45579</v>
      </c>
      <c r="M796" s="2" t="s">
        <v>26</v>
      </c>
      <c r="N796" s="2">
        <v>4</v>
      </c>
      <c r="O796" s="2" t="s">
        <v>133</v>
      </c>
      <c r="P796" s="25">
        <v>6.8</v>
      </c>
      <c r="Q796" t="str">
        <f t="shared" si="109"/>
        <v>0795</v>
      </c>
      <c r="R796" t="str">
        <f>IF('RETAIL SALES DATA.'!H796&gt;AVERAGE('RETAIL SALES DATA.'!H796:H1795),"HIGHEST VALUE","LOWEST VALUE")</f>
        <v>HIGHEST VALUE</v>
      </c>
      <c r="S796" t="str">
        <f t="shared" si="110"/>
        <v>Profit</v>
      </c>
      <c r="T796" t="str">
        <f t="shared" si="111"/>
        <v>Mr. Matthew Coleman Md</v>
      </c>
      <c r="U796" t="str">
        <f t="shared" si="112"/>
        <v>Smartphone</v>
      </c>
      <c r="V796">
        <f t="shared" si="113"/>
        <v>2024</v>
      </c>
      <c r="W796">
        <f t="shared" si="114"/>
        <v>10</v>
      </c>
      <c r="X796">
        <f t="shared" si="115"/>
        <v>5</v>
      </c>
      <c r="Y796" t="str">
        <f t="shared" si="116"/>
        <v>Oct</v>
      </c>
      <c r="Z796">
        <f t="shared" si="117"/>
        <v>9</v>
      </c>
    </row>
    <row r="797" spans="1:26" ht="15.75" customHeight="1" x14ac:dyDescent="0.3">
      <c r="A797" s="2" t="s">
        <v>1865</v>
      </c>
      <c r="B797" s="2" t="s">
        <v>1866</v>
      </c>
      <c r="C797" s="2" t="s">
        <v>37</v>
      </c>
      <c r="D797" s="2" t="s">
        <v>19</v>
      </c>
      <c r="E797" s="2" t="s">
        <v>25</v>
      </c>
      <c r="F797" s="2">
        <v>19</v>
      </c>
      <c r="G797" s="2">
        <v>2859.83</v>
      </c>
      <c r="H797" s="2">
        <v>54336.77</v>
      </c>
      <c r="I797" s="2">
        <v>47085.79</v>
      </c>
      <c r="J797" s="2">
        <v>7250.98</v>
      </c>
      <c r="K797" s="3">
        <v>45764</v>
      </c>
      <c r="L797" s="3">
        <v>45773</v>
      </c>
      <c r="M797" s="2" t="s">
        <v>69</v>
      </c>
      <c r="N797" s="2">
        <v>1</v>
      </c>
      <c r="O797" s="2" t="s">
        <v>1867</v>
      </c>
      <c r="P797" s="25">
        <v>8.6999999999999993</v>
      </c>
      <c r="Q797" t="str">
        <f t="shared" si="109"/>
        <v>0796</v>
      </c>
      <c r="R797" t="str">
        <f>IF('RETAIL SALES DATA.'!H797&gt;AVERAGE('RETAIL SALES DATA.'!H797:H1796),"HIGHEST VALUE","LOWEST VALUE")</f>
        <v>HIGHEST VALUE</v>
      </c>
      <c r="S797" t="str">
        <f t="shared" si="110"/>
        <v>Profit</v>
      </c>
      <c r="T797" t="str">
        <f t="shared" si="111"/>
        <v>Devin Anderson</v>
      </c>
      <c r="U797" t="str">
        <f t="shared" si="112"/>
        <v>Marker</v>
      </c>
      <c r="V797">
        <f t="shared" si="113"/>
        <v>2025</v>
      </c>
      <c r="W797">
        <f t="shared" si="114"/>
        <v>4</v>
      </c>
      <c r="X797">
        <f t="shared" si="115"/>
        <v>17</v>
      </c>
      <c r="Y797" t="str">
        <f t="shared" si="116"/>
        <v>Apr</v>
      </c>
      <c r="Z797">
        <f t="shared" si="117"/>
        <v>9</v>
      </c>
    </row>
    <row r="798" spans="1:26" ht="15.75" customHeight="1" x14ac:dyDescent="0.3">
      <c r="A798" s="2" t="s">
        <v>1868</v>
      </c>
      <c r="B798" s="2" t="s">
        <v>1869</v>
      </c>
      <c r="C798" s="2" t="s">
        <v>18</v>
      </c>
      <c r="D798" s="2" t="s">
        <v>19</v>
      </c>
      <c r="E798" s="2" t="s">
        <v>20</v>
      </c>
      <c r="F798" s="2">
        <v>7</v>
      </c>
      <c r="G798" s="2">
        <v>2794.71</v>
      </c>
      <c r="H798" s="2">
        <v>19562.97</v>
      </c>
      <c r="I798" s="2">
        <v>11625.72</v>
      </c>
      <c r="J798" s="2">
        <v>7937.25</v>
      </c>
      <c r="K798" s="3">
        <v>45906</v>
      </c>
      <c r="L798" s="3">
        <v>45912</v>
      </c>
      <c r="M798" s="2" t="s">
        <v>58</v>
      </c>
      <c r="N798" s="2">
        <v>2</v>
      </c>
      <c r="O798" s="2" t="s">
        <v>297</v>
      </c>
      <c r="P798" s="25">
        <v>8.3000000000000007</v>
      </c>
      <c r="Q798" t="str">
        <f t="shared" si="109"/>
        <v>0797</v>
      </c>
      <c r="R798" t="str">
        <f>IF('RETAIL SALES DATA.'!H798&gt;AVERAGE('RETAIL SALES DATA.'!H798:H1797),"HIGHEST VALUE","LOWEST VALUE")</f>
        <v>LOWEST VALUE</v>
      </c>
      <c r="S798" t="str">
        <f t="shared" si="110"/>
        <v>Profit</v>
      </c>
      <c r="T798" t="str">
        <f t="shared" si="111"/>
        <v>Elizabeth King</v>
      </c>
      <c r="U798" t="str">
        <f t="shared" si="112"/>
        <v>Pen</v>
      </c>
      <c r="V798">
        <f t="shared" si="113"/>
        <v>2025</v>
      </c>
      <c r="W798">
        <f t="shared" si="114"/>
        <v>9</v>
      </c>
      <c r="X798">
        <f t="shared" si="115"/>
        <v>6</v>
      </c>
      <c r="Y798" t="str">
        <f t="shared" si="116"/>
        <v>Sep</v>
      </c>
      <c r="Z798">
        <f t="shared" si="117"/>
        <v>6</v>
      </c>
    </row>
    <row r="799" spans="1:26" ht="15.75" customHeight="1" x14ac:dyDescent="0.3">
      <c r="A799" s="2" t="s">
        <v>1870</v>
      </c>
      <c r="B799" s="2" t="s">
        <v>1871</v>
      </c>
      <c r="C799" s="2" t="s">
        <v>139</v>
      </c>
      <c r="D799" s="2" t="s">
        <v>31</v>
      </c>
      <c r="E799" s="2" t="s">
        <v>20</v>
      </c>
      <c r="F799" s="2">
        <v>18</v>
      </c>
      <c r="G799" s="2">
        <v>4873.41</v>
      </c>
      <c r="H799" s="2">
        <v>87721.38</v>
      </c>
      <c r="I799" s="2">
        <v>47815.87</v>
      </c>
      <c r="J799" s="2">
        <v>39905.51</v>
      </c>
      <c r="K799" s="3">
        <v>45807</v>
      </c>
      <c r="L799" s="3">
        <v>45815</v>
      </c>
      <c r="M799" s="2" t="s">
        <v>26</v>
      </c>
      <c r="N799" s="2">
        <v>1</v>
      </c>
      <c r="O799" s="2" t="s">
        <v>452</v>
      </c>
      <c r="P799" s="25">
        <v>10</v>
      </c>
      <c r="Q799" t="str">
        <f t="shared" si="109"/>
        <v>0798</v>
      </c>
      <c r="R799" t="str">
        <f>IF('RETAIL SALES DATA.'!H799&gt;AVERAGE('RETAIL SALES DATA.'!H799:H1798),"HIGHEST VALUE","LOWEST VALUE")</f>
        <v>HIGHEST VALUE</v>
      </c>
      <c r="S799" t="str">
        <f t="shared" si="110"/>
        <v>Profit</v>
      </c>
      <c r="T799" t="str">
        <f t="shared" si="111"/>
        <v>Emily Molina</v>
      </c>
      <c r="U799" t="str">
        <f t="shared" si="112"/>
        <v>Sofa</v>
      </c>
      <c r="V799">
        <f t="shared" si="113"/>
        <v>2025</v>
      </c>
      <c r="W799">
        <f t="shared" si="114"/>
        <v>6</v>
      </c>
      <c r="X799">
        <f t="shared" si="115"/>
        <v>30</v>
      </c>
      <c r="Y799" t="str">
        <f t="shared" si="116"/>
        <v>May</v>
      </c>
      <c r="Z799">
        <f t="shared" si="117"/>
        <v>8</v>
      </c>
    </row>
    <row r="800" spans="1:26" ht="15.75" customHeight="1" x14ac:dyDescent="0.3">
      <c r="A800" s="2" t="s">
        <v>1872</v>
      </c>
      <c r="B800" s="2" t="s">
        <v>1873</v>
      </c>
      <c r="C800" s="2" t="s">
        <v>37</v>
      </c>
      <c r="D800" s="2" t="s">
        <v>19</v>
      </c>
      <c r="E800" s="2" t="s">
        <v>32</v>
      </c>
      <c r="F800" s="2">
        <v>6</v>
      </c>
      <c r="G800" s="2">
        <v>2407.0700000000002</v>
      </c>
      <c r="H800" s="2">
        <v>14442.42</v>
      </c>
      <c r="I800" s="2">
        <v>11552.8</v>
      </c>
      <c r="J800" s="2">
        <v>2889.62</v>
      </c>
      <c r="K800" s="3">
        <v>45812</v>
      </c>
      <c r="L800" s="3">
        <v>45821</v>
      </c>
      <c r="M800" s="2" t="s">
        <v>181</v>
      </c>
      <c r="N800" s="2">
        <v>3</v>
      </c>
      <c r="O800" s="2" t="s">
        <v>414</v>
      </c>
      <c r="P800" s="25">
        <v>7.5</v>
      </c>
      <c r="Q800" t="str">
        <f t="shared" si="109"/>
        <v>0799</v>
      </c>
      <c r="R800" t="str">
        <f>IF('RETAIL SALES DATA.'!H800&gt;AVERAGE('RETAIL SALES DATA.'!H800:H1799),"HIGHEST VALUE","LOWEST VALUE")</f>
        <v>LOWEST VALUE</v>
      </c>
      <c r="S800" t="str">
        <f t="shared" si="110"/>
        <v>Profit</v>
      </c>
      <c r="T800" t="str">
        <f t="shared" si="111"/>
        <v>Michael Phillips</v>
      </c>
      <c r="U800" t="str">
        <f t="shared" si="112"/>
        <v>Marker</v>
      </c>
      <c r="V800">
        <f t="shared" si="113"/>
        <v>2025</v>
      </c>
      <c r="W800">
        <f t="shared" si="114"/>
        <v>6</v>
      </c>
      <c r="X800">
        <f t="shared" si="115"/>
        <v>4</v>
      </c>
      <c r="Y800" t="str">
        <f t="shared" si="116"/>
        <v>Jun</v>
      </c>
      <c r="Z800">
        <f t="shared" si="117"/>
        <v>9</v>
      </c>
    </row>
    <row r="801" spans="1:26" ht="15.75" customHeight="1" x14ac:dyDescent="0.3">
      <c r="A801" s="2" t="s">
        <v>1874</v>
      </c>
      <c r="B801" s="2" t="s">
        <v>1875</v>
      </c>
      <c r="C801" s="2" t="s">
        <v>42</v>
      </c>
      <c r="D801" s="2" t="s">
        <v>43</v>
      </c>
      <c r="E801" s="2" t="s">
        <v>25</v>
      </c>
      <c r="F801" s="2">
        <v>4</v>
      </c>
      <c r="G801" s="2">
        <v>4294.74</v>
      </c>
      <c r="H801" s="2">
        <v>17178.96</v>
      </c>
      <c r="I801" s="2">
        <v>8743.0300000000007</v>
      </c>
      <c r="J801" s="2">
        <v>8435.93</v>
      </c>
      <c r="K801" s="3">
        <v>46105</v>
      </c>
      <c r="L801" s="3">
        <v>46113</v>
      </c>
      <c r="M801" s="2" t="s">
        <v>58</v>
      </c>
      <c r="N801" s="2">
        <v>5</v>
      </c>
      <c r="O801" s="2" t="s">
        <v>354</v>
      </c>
      <c r="P801" s="25">
        <v>9</v>
      </c>
      <c r="Q801" t="str">
        <f t="shared" si="109"/>
        <v>0800</v>
      </c>
      <c r="R801" t="str">
        <f>IF('RETAIL SALES DATA.'!H801&gt;AVERAGE('RETAIL SALES DATA.'!H801:H1800),"HIGHEST VALUE","LOWEST VALUE")</f>
        <v>LOWEST VALUE</v>
      </c>
      <c r="S801" t="str">
        <f t="shared" si="110"/>
        <v>Profit</v>
      </c>
      <c r="T801" t="str">
        <f t="shared" si="111"/>
        <v>Amanda Nelson</v>
      </c>
      <c r="U801" t="str">
        <f t="shared" si="112"/>
        <v>Laptop</v>
      </c>
      <c r="V801">
        <f t="shared" si="113"/>
        <v>2026</v>
      </c>
      <c r="W801">
        <f t="shared" si="114"/>
        <v>4</v>
      </c>
      <c r="X801">
        <f t="shared" si="115"/>
        <v>24</v>
      </c>
      <c r="Y801" t="str">
        <f t="shared" si="116"/>
        <v>Mar</v>
      </c>
      <c r="Z801">
        <f t="shared" si="117"/>
        <v>8</v>
      </c>
    </row>
    <row r="802" spans="1:26" ht="15.75" customHeight="1" x14ac:dyDescent="0.3">
      <c r="A802" s="2" t="s">
        <v>1876</v>
      </c>
      <c r="B802" s="2" t="s">
        <v>1877</v>
      </c>
      <c r="C802" s="2" t="s">
        <v>139</v>
      </c>
      <c r="D802" s="2" t="s">
        <v>31</v>
      </c>
      <c r="E802" s="2" t="s">
        <v>25</v>
      </c>
      <c r="F802" s="2">
        <v>18</v>
      </c>
      <c r="G802" s="2">
        <v>2902.54</v>
      </c>
      <c r="H802" s="2">
        <v>52245.72</v>
      </c>
      <c r="I802" s="2">
        <v>30381.83</v>
      </c>
      <c r="J802" s="2">
        <v>21863.89</v>
      </c>
      <c r="K802" s="3">
        <v>45824</v>
      </c>
      <c r="L802" s="3">
        <v>45829</v>
      </c>
      <c r="M802" s="2" t="s">
        <v>33</v>
      </c>
      <c r="N802" s="2">
        <v>2</v>
      </c>
      <c r="O802" s="2" t="s">
        <v>429</v>
      </c>
      <c r="P802" s="25">
        <v>7.5</v>
      </c>
      <c r="Q802" t="str">
        <f t="shared" si="109"/>
        <v>0801</v>
      </c>
      <c r="R802" t="str">
        <f>IF('RETAIL SALES DATA.'!H802&gt;AVERAGE('RETAIL SALES DATA.'!H802:H1801),"HIGHEST VALUE","LOWEST VALUE")</f>
        <v>HIGHEST VALUE</v>
      </c>
      <c r="S802" t="str">
        <f t="shared" si="110"/>
        <v>Profit</v>
      </c>
      <c r="T802" t="str">
        <f t="shared" si="111"/>
        <v>Beth Parker</v>
      </c>
      <c r="U802" t="str">
        <f t="shared" si="112"/>
        <v>Sofa</v>
      </c>
      <c r="V802">
        <f t="shared" si="113"/>
        <v>2025</v>
      </c>
      <c r="W802">
        <f t="shared" si="114"/>
        <v>6</v>
      </c>
      <c r="X802">
        <f t="shared" si="115"/>
        <v>16</v>
      </c>
      <c r="Y802" t="str">
        <f t="shared" si="116"/>
        <v>Jun</v>
      </c>
      <c r="Z802">
        <f t="shared" si="117"/>
        <v>5</v>
      </c>
    </row>
    <row r="803" spans="1:26" ht="15.75" customHeight="1" x14ac:dyDescent="0.3">
      <c r="A803" s="2" t="s">
        <v>1878</v>
      </c>
      <c r="B803" s="2" t="s">
        <v>1879</v>
      </c>
      <c r="C803" s="2" t="s">
        <v>30</v>
      </c>
      <c r="D803" s="2" t="s">
        <v>31</v>
      </c>
      <c r="E803" s="2" t="s">
        <v>32</v>
      </c>
      <c r="F803" s="2">
        <v>12</v>
      </c>
      <c r="G803" s="2">
        <v>4947.18</v>
      </c>
      <c r="H803" s="2">
        <v>59366.16</v>
      </c>
      <c r="I803" s="2">
        <v>47908.03</v>
      </c>
      <c r="J803" s="2">
        <v>11458.13</v>
      </c>
      <c r="K803" s="3">
        <v>45758</v>
      </c>
      <c r="L803" s="3">
        <v>45762</v>
      </c>
      <c r="M803" s="2" t="s">
        <v>50</v>
      </c>
      <c r="N803" s="2">
        <v>3</v>
      </c>
      <c r="O803" s="2" t="s">
        <v>470</v>
      </c>
      <c r="P803" s="25">
        <v>9.8000000000000007</v>
      </c>
      <c r="Q803" t="str">
        <f t="shared" si="109"/>
        <v>0802</v>
      </c>
      <c r="R803" t="str">
        <f>IF('RETAIL SALES DATA.'!H803&gt;AVERAGE('RETAIL SALES DATA.'!H803:H1802),"HIGHEST VALUE","LOWEST VALUE")</f>
        <v>HIGHEST VALUE</v>
      </c>
      <c r="S803" t="str">
        <f t="shared" si="110"/>
        <v>Profit</v>
      </c>
      <c r="T803" t="str">
        <f t="shared" si="111"/>
        <v>Rodney Bradshaw</v>
      </c>
      <c r="U803" t="str">
        <f t="shared" si="112"/>
        <v>Desk</v>
      </c>
      <c r="V803">
        <f t="shared" si="113"/>
        <v>2025</v>
      </c>
      <c r="W803">
        <f t="shared" si="114"/>
        <v>4</v>
      </c>
      <c r="X803">
        <f t="shared" si="115"/>
        <v>11</v>
      </c>
      <c r="Y803" t="str">
        <f t="shared" si="116"/>
        <v>Apr</v>
      </c>
      <c r="Z803">
        <f t="shared" si="117"/>
        <v>4</v>
      </c>
    </row>
    <row r="804" spans="1:26" ht="15.75" customHeight="1" x14ac:dyDescent="0.3">
      <c r="A804" s="2" t="s">
        <v>1880</v>
      </c>
      <c r="B804" s="2" t="s">
        <v>1881</v>
      </c>
      <c r="C804" s="2" t="s">
        <v>195</v>
      </c>
      <c r="D804" s="2" t="s">
        <v>43</v>
      </c>
      <c r="E804" s="2" t="s">
        <v>32</v>
      </c>
      <c r="F804" s="2">
        <v>6</v>
      </c>
      <c r="G804" s="2">
        <v>1553.43</v>
      </c>
      <c r="H804" s="2">
        <v>9320.58</v>
      </c>
      <c r="I804" s="2">
        <v>4752.66</v>
      </c>
      <c r="J804" s="2">
        <v>4567.92</v>
      </c>
      <c r="K804" s="3">
        <v>45826</v>
      </c>
      <c r="L804" s="3">
        <v>45836</v>
      </c>
      <c r="M804" s="2" t="s">
        <v>33</v>
      </c>
      <c r="N804" s="2">
        <v>3</v>
      </c>
      <c r="O804" s="2" t="s">
        <v>1242</v>
      </c>
      <c r="P804" s="25">
        <v>8</v>
      </c>
      <c r="Q804" t="str">
        <f t="shared" si="109"/>
        <v>0803</v>
      </c>
      <c r="R804" t="str">
        <f>IF('RETAIL SALES DATA.'!H804&gt;AVERAGE('RETAIL SALES DATA.'!H804:H1803),"HIGHEST VALUE","LOWEST VALUE")</f>
        <v>LOWEST VALUE</v>
      </c>
      <c r="S804" t="str">
        <f t="shared" si="110"/>
        <v>Profit</v>
      </c>
      <c r="T804" t="str">
        <f t="shared" si="111"/>
        <v>Crystal Mullins</v>
      </c>
      <c r="U804" t="str">
        <f t="shared" si="112"/>
        <v>Monitor</v>
      </c>
      <c r="V804">
        <f t="shared" si="113"/>
        <v>2025</v>
      </c>
      <c r="W804">
        <f t="shared" si="114"/>
        <v>6</v>
      </c>
      <c r="X804">
        <f t="shared" si="115"/>
        <v>18</v>
      </c>
      <c r="Y804" t="str">
        <f t="shared" si="116"/>
        <v>Jun</v>
      </c>
      <c r="Z804">
        <f t="shared" si="117"/>
        <v>10</v>
      </c>
    </row>
    <row r="805" spans="1:26" ht="15.75" customHeight="1" x14ac:dyDescent="0.3">
      <c r="A805" s="2" t="s">
        <v>1882</v>
      </c>
      <c r="B805" s="2" t="s">
        <v>1883</v>
      </c>
      <c r="C805" s="2" t="s">
        <v>49</v>
      </c>
      <c r="D805" s="2" t="s">
        <v>43</v>
      </c>
      <c r="E805" s="2" t="s">
        <v>44</v>
      </c>
      <c r="F805" s="2">
        <v>10</v>
      </c>
      <c r="G805" s="2">
        <v>4404.9399999999996</v>
      </c>
      <c r="H805" s="2">
        <v>44049.4</v>
      </c>
      <c r="I805" s="2">
        <v>36004.74</v>
      </c>
      <c r="J805" s="2">
        <v>8044.66</v>
      </c>
      <c r="K805" s="3">
        <v>45965</v>
      </c>
      <c r="L805" s="3">
        <v>45973</v>
      </c>
      <c r="M805" s="2" t="s">
        <v>58</v>
      </c>
      <c r="N805" s="2">
        <v>1</v>
      </c>
      <c r="O805" s="2" t="s">
        <v>226</v>
      </c>
      <c r="P805" s="25">
        <v>7</v>
      </c>
      <c r="Q805" t="str">
        <f t="shared" si="109"/>
        <v>0804</v>
      </c>
      <c r="R805" t="str">
        <f>IF('RETAIL SALES DATA.'!H805&gt;AVERAGE('RETAIL SALES DATA.'!H805:H1804),"HIGHEST VALUE","LOWEST VALUE")</f>
        <v>HIGHEST VALUE</v>
      </c>
      <c r="S805" t="str">
        <f t="shared" si="110"/>
        <v>Profit</v>
      </c>
      <c r="T805" t="str">
        <f t="shared" si="111"/>
        <v>Jamie Jones</v>
      </c>
      <c r="U805" t="str">
        <f t="shared" si="112"/>
        <v>Mouse</v>
      </c>
      <c r="V805">
        <f t="shared" si="113"/>
        <v>2025</v>
      </c>
      <c r="W805">
        <f t="shared" si="114"/>
        <v>11</v>
      </c>
      <c r="X805">
        <f t="shared" si="115"/>
        <v>4</v>
      </c>
      <c r="Y805" t="str">
        <f t="shared" si="116"/>
        <v>Nov</v>
      </c>
      <c r="Z805">
        <f t="shared" si="117"/>
        <v>8</v>
      </c>
    </row>
    <row r="806" spans="1:26" ht="15.75" customHeight="1" x14ac:dyDescent="0.3">
      <c r="A806" s="2" t="s">
        <v>1884</v>
      </c>
      <c r="B806" s="2" t="s">
        <v>1885</v>
      </c>
      <c r="C806" s="2" t="s">
        <v>57</v>
      </c>
      <c r="D806" s="2" t="s">
        <v>19</v>
      </c>
      <c r="E806" s="2" t="s">
        <v>25</v>
      </c>
      <c r="F806" s="2">
        <v>17</v>
      </c>
      <c r="G806" s="2">
        <v>2110.27</v>
      </c>
      <c r="H806" s="2">
        <v>35874.589999999997</v>
      </c>
      <c r="I806" s="2">
        <v>25029.279999999999</v>
      </c>
      <c r="J806" s="2">
        <v>10845.31</v>
      </c>
      <c r="K806" s="3">
        <v>45692</v>
      </c>
      <c r="L806" s="3">
        <v>45695</v>
      </c>
      <c r="M806" s="2" t="s">
        <v>50</v>
      </c>
      <c r="N806" s="2">
        <v>1</v>
      </c>
      <c r="O806" s="2" t="s">
        <v>1390</v>
      </c>
      <c r="P806" s="25">
        <v>6.3</v>
      </c>
      <c r="Q806" t="str">
        <f t="shared" si="109"/>
        <v>0805</v>
      </c>
      <c r="R806" t="str">
        <f>IF('RETAIL SALES DATA.'!H806&gt;AVERAGE('RETAIL SALES DATA.'!H806:H1805),"HIGHEST VALUE","LOWEST VALUE")</f>
        <v>HIGHEST VALUE</v>
      </c>
      <c r="S806" t="str">
        <f t="shared" si="110"/>
        <v>Profit</v>
      </c>
      <c r="T806" t="str">
        <f t="shared" si="111"/>
        <v>Mark Hernandez</v>
      </c>
      <c r="U806" t="str">
        <f t="shared" si="112"/>
        <v>Notebook</v>
      </c>
      <c r="V806">
        <f t="shared" si="113"/>
        <v>2025</v>
      </c>
      <c r="W806">
        <f t="shared" si="114"/>
        <v>2</v>
      </c>
      <c r="X806">
        <f t="shared" si="115"/>
        <v>4</v>
      </c>
      <c r="Y806" t="str">
        <f t="shared" si="116"/>
        <v>Feb</v>
      </c>
      <c r="Z806">
        <f t="shared" si="117"/>
        <v>3</v>
      </c>
    </row>
    <row r="807" spans="1:26" ht="15.75" customHeight="1" x14ac:dyDescent="0.3">
      <c r="A807" s="2" t="s">
        <v>1886</v>
      </c>
      <c r="B807" s="2" t="s">
        <v>1887</v>
      </c>
      <c r="C807" s="2" t="s">
        <v>139</v>
      </c>
      <c r="D807" s="2" t="s">
        <v>31</v>
      </c>
      <c r="E807" s="2" t="s">
        <v>44</v>
      </c>
      <c r="F807" s="2">
        <v>14</v>
      </c>
      <c r="G807" s="2">
        <v>488.88</v>
      </c>
      <c r="H807" s="2">
        <v>6844.32</v>
      </c>
      <c r="I807" s="2">
        <v>5067.4399999999996</v>
      </c>
      <c r="J807" s="2">
        <v>1776.88</v>
      </c>
      <c r="K807" s="3">
        <v>45598</v>
      </c>
      <c r="L807" s="3">
        <v>45603</v>
      </c>
      <c r="M807" s="2" t="s">
        <v>69</v>
      </c>
      <c r="N807" s="2">
        <v>1</v>
      </c>
      <c r="O807" s="2" t="s">
        <v>151</v>
      </c>
      <c r="P807" s="25">
        <v>7.6</v>
      </c>
      <c r="Q807" t="str">
        <f t="shared" si="109"/>
        <v>0806</v>
      </c>
      <c r="R807" t="str">
        <f>IF('RETAIL SALES DATA.'!H807&gt;AVERAGE('RETAIL SALES DATA.'!H807:H1806),"HIGHEST VALUE","LOWEST VALUE")</f>
        <v>LOWEST VALUE</v>
      </c>
      <c r="S807" t="str">
        <f t="shared" si="110"/>
        <v>Profit</v>
      </c>
      <c r="T807" t="str">
        <f t="shared" si="111"/>
        <v>Shane Daniels</v>
      </c>
      <c r="U807" t="str">
        <f t="shared" si="112"/>
        <v>Sofa</v>
      </c>
      <c r="V807">
        <f t="shared" si="113"/>
        <v>2024</v>
      </c>
      <c r="W807">
        <f t="shared" si="114"/>
        <v>11</v>
      </c>
      <c r="X807">
        <f t="shared" si="115"/>
        <v>2</v>
      </c>
      <c r="Y807" t="str">
        <f t="shared" si="116"/>
        <v>Nov</v>
      </c>
      <c r="Z807">
        <f t="shared" si="117"/>
        <v>5</v>
      </c>
    </row>
    <row r="808" spans="1:26" ht="15.75" customHeight="1" x14ac:dyDescent="0.3">
      <c r="A808" s="2" t="s">
        <v>1888</v>
      </c>
      <c r="B808" s="2" t="s">
        <v>1889</v>
      </c>
      <c r="C808" s="2" t="s">
        <v>144</v>
      </c>
      <c r="D808" s="2" t="s">
        <v>19</v>
      </c>
      <c r="E808" s="2" t="s">
        <v>44</v>
      </c>
      <c r="F808" s="2">
        <v>19</v>
      </c>
      <c r="G808" s="2">
        <v>1824.48</v>
      </c>
      <c r="H808" s="2">
        <v>34665.120000000003</v>
      </c>
      <c r="I808" s="2">
        <v>31118.98</v>
      </c>
      <c r="J808" s="2">
        <v>3546.14</v>
      </c>
      <c r="K808" s="3">
        <v>45643</v>
      </c>
      <c r="L808" s="3">
        <v>45648</v>
      </c>
      <c r="M808" s="2" t="s">
        <v>58</v>
      </c>
      <c r="N808" s="2">
        <v>2</v>
      </c>
      <c r="O808" s="2" t="s">
        <v>340</v>
      </c>
      <c r="P808" s="25">
        <v>7.6</v>
      </c>
      <c r="Q808" t="str">
        <f t="shared" si="109"/>
        <v>0807</v>
      </c>
      <c r="R808" t="str">
        <f>IF('RETAIL SALES DATA.'!H808&gt;AVERAGE('RETAIL SALES DATA.'!H808:H1807),"HIGHEST VALUE","LOWEST VALUE")</f>
        <v>HIGHEST VALUE</v>
      </c>
      <c r="S808" t="str">
        <f t="shared" si="110"/>
        <v>Profit</v>
      </c>
      <c r="T808" t="str">
        <f t="shared" si="111"/>
        <v>Christopher Fletcher</v>
      </c>
      <c r="U808" t="str">
        <f t="shared" si="112"/>
        <v>File</v>
      </c>
      <c r="V808">
        <f t="shared" si="113"/>
        <v>2024</v>
      </c>
      <c r="W808">
        <f t="shared" si="114"/>
        <v>12</v>
      </c>
      <c r="X808">
        <f t="shared" si="115"/>
        <v>17</v>
      </c>
      <c r="Y808" t="str">
        <f t="shared" si="116"/>
        <v>Dec</v>
      </c>
      <c r="Z808">
        <f t="shared" si="117"/>
        <v>5</v>
      </c>
    </row>
    <row r="809" spans="1:26" ht="15.75" customHeight="1" x14ac:dyDescent="0.3">
      <c r="A809" s="2" t="s">
        <v>1890</v>
      </c>
      <c r="B809" s="2" t="s">
        <v>1891</v>
      </c>
      <c r="C809" s="2" t="s">
        <v>42</v>
      </c>
      <c r="D809" s="2" t="s">
        <v>43</v>
      </c>
      <c r="E809" s="2" t="s">
        <v>25</v>
      </c>
      <c r="F809" s="2">
        <v>14</v>
      </c>
      <c r="G809" s="2">
        <v>1377.36</v>
      </c>
      <c r="H809" s="2">
        <v>19283.04</v>
      </c>
      <c r="I809" s="2">
        <v>14837.37</v>
      </c>
      <c r="J809" s="2">
        <v>4445.67</v>
      </c>
      <c r="K809" s="3">
        <v>45627</v>
      </c>
      <c r="L809" s="3">
        <v>45630</v>
      </c>
      <c r="M809" s="2" t="s">
        <v>38</v>
      </c>
      <c r="N809" s="2">
        <v>2</v>
      </c>
      <c r="O809" s="2" t="s">
        <v>533</v>
      </c>
      <c r="P809" s="25">
        <v>7.1</v>
      </c>
      <c r="Q809" t="str">
        <f t="shared" si="109"/>
        <v>0808</v>
      </c>
      <c r="R809" t="str">
        <f>IF('RETAIL SALES DATA.'!H809&gt;AVERAGE('RETAIL SALES DATA.'!H809:H1808),"HIGHEST VALUE","LOWEST VALUE")</f>
        <v>LOWEST VALUE</v>
      </c>
      <c r="S809" t="str">
        <f t="shared" si="110"/>
        <v>Profit</v>
      </c>
      <c r="T809" t="str">
        <f t="shared" si="111"/>
        <v>Nathan Conner</v>
      </c>
      <c r="U809" t="str">
        <f t="shared" si="112"/>
        <v>Laptop</v>
      </c>
      <c r="V809">
        <f t="shared" si="113"/>
        <v>2024</v>
      </c>
      <c r="W809">
        <f t="shared" si="114"/>
        <v>12</v>
      </c>
      <c r="X809">
        <f t="shared" si="115"/>
        <v>1</v>
      </c>
      <c r="Y809" t="str">
        <f t="shared" si="116"/>
        <v>Dec</v>
      </c>
      <c r="Z809">
        <f t="shared" si="117"/>
        <v>3</v>
      </c>
    </row>
    <row r="810" spans="1:26" ht="15.75" customHeight="1" x14ac:dyDescent="0.3">
      <c r="A810" s="2" t="s">
        <v>1892</v>
      </c>
      <c r="B810" s="2" t="s">
        <v>1893</v>
      </c>
      <c r="C810" s="2" t="s">
        <v>95</v>
      </c>
      <c r="D810" s="2" t="s">
        <v>19</v>
      </c>
      <c r="E810" s="2" t="s">
        <v>32</v>
      </c>
      <c r="F810" s="2">
        <v>3</v>
      </c>
      <c r="G810" s="2">
        <v>1869.05</v>
      </c>
      <c r="H810" s="2">
        <v>5607.15</v>
      </c>
      <c r="I810" s="2">
        <v>4753.71</v>
      </c>
      <c r="J810" s="2">
        <v>853.44</v>
      </c>
      <c r="K810" s="3">
        <v>45523</v>
      </c>
      <c r="L810" s="3">
        <v>45527</v>
      </c>
      <c r="M810" s="2" t="s">
        <v>123</v>
      </c>
      <c r="N810" s="2">
        <v>4</v>
      </c>
      <c r="O810" s="2" t="s">
        <v>202</v>
      </c>
      <c r="P810" s="25">
        <v>7.7</v>
      </c>
      <c r="Q810" t="str">
        <f t="shared" si="109"/>
        <v>0809</v>
      </c>
      <c r="R810" t="str">
        <f>IF('RETAIL SALES DATA.'!H810&gt;AVERAGE('RETAIL SALES DATA.'!H810:H1809),"HIGHEST VALUE","LOWEST VALUE")</f>
        <v>LOWEST VALUE</v>
      </c>
      <c r="S810" t="str">
        <f t="shared" si="110"/>
        <v>Profit</v>
      </c>
      <c r="T810" t="str">
        <f t="shared" si="111"/>
        <v>Beverly Lowe</v>
      </c>
      <c r="U810" t="str">
        <f t="shared" si="112"/>
        <v>Printer</v>
      </c>
      <c r="V810">
        <f t="shared" si="113"/>
        <v>2024</v>
      </c>
      <c r="W810">
        <f t="shared" si="114"/>
        <v>8</v>
      </c>
      <c r="X810">
        <f t="shared" si="115"/>
        <v>19</v>
      </c>
      <c r="Y810" t="str">
        <f t="shared" si="116"/>
        <v>Aug</v>
      </c>
      <c r="Z810">
        <f t="shared" si="117"/>
        <v>4</v>
      </c>
    </row>
    <row r="811" spans="1:26" ht="15.75" customHeight="1" x14ac:dyDescent="0.3">
      <c r="A811" s="2" t="s">
        <v>1894</v>
      </c>
      <c r="B811" s="2" t="s">
        <v>1895</v>
      </c>
      <c r="C811" s="2" t="s">
        <v>139</v>
      </c>
      <c r="D811" s="2" t="s">
        <v>31</v>
      </c>
      <c r="E811" s="2" t="s">
        <v>25</v>
      </c>
      <c r="F811" s="2">
        <v>17</v>
      </c>
      <c r="G811" s="2">
        <v>130.26</v>
      </c>
      <c r="H811" s="2">
        <v>2214.42</v>
      </c>
      <c r="I811" s="2">
        <v>1608.82</v>
      </c>
      <c r="J811" s="2">
        <v>605.6</v>
      </c>
      <c r="K811" s="3">
        <v>45522</v>
      </c>
      <c r="L811" s="3">
        <v>45530</v>
      </c>
      <c r="M811" s="2" t="s">
        <v>26</v>
      </c>
      <c r="N811" s="2">
        <v>3</v>
      </c>
      <c r="O811" s="2" t="s">
        <v>82</v>
      </c>
      <c r="P811" s="25">
        <v>6.8</v>
      </c>
      <c r="Q811" t="str">
        <f t="shared" si="109"/>
        <v>0810</v>
      </c>
      <c r="R811" t="str">
        <f>IF('RETAIL SALES DATA.'!H811&gt;AVERAGE('RETAIL SALES DATA.'!H811:H1810),"HIGHEST VALUE","LOWEST VALUE")</f>
        <v>LOWEST VALUE</v>
      </c>
      <c r="S811" t="str">
        <f t="shared" si="110"/>
        <v>Profit</v>
      </c>
      <c r="T811" t="str">
        <f t="shared" si="111"/>
        <v>Melissa Leach</v>
      </c>
      <c r="U811" t="str">
        <f t="shared" si="112"/>
        <v>Sofa</v>
      </c>
      <c r="V811">
        <f t="shared" si="113"/>
        <v>2024</v>
      </c>
      <c r="W811">
        <f t="shared" si="114"/>
        <v>8</v>
      </c>
      <c r="X811">
        <f t="shared" si="115"/>
        <v>18</v>
      </c>
      <c r="Y811" t="str">
        <f t="shared" si="116"/>
        <v>Aug</v>
      </c>
      <c r="Z811">
        <f t="shared" si="117"/>
        <v>8</v>
      </c>
    </row>
    <row r="812" spans="1:26" ht="15.75" customHeight="1" x14ac:dyDescent="0.3">
      <c r="A812" s="2" t="s">
        <v>1896</v>
      </c>
      <c r="B812" s="2" t="s">
        <v>1897</v>
      </c>
      <c r="C812" s="2" t="s">
        <v>57</v>
      </c>
      <c r="D812" s="2" t="s">
        <v>19</v>
      </c>
      <c r="E812" s="2" t="s">
        <v>25</v>
      </c>
      <c r="F812" s="2">
        <v>16</v>
      </c>
      <c r="G812" s="2">
        <v>3565.15</v>
      </c>
      <c r="H812" s="2">
        <v>57042.400000000001</v>
      </c>
      <c r="I812" s="2">
        <v>37361.14</v>
      </c>
      <c r="J812" s="2">
        <v>19681.259999999998</v>
      </c>
      <c r="K812" s="3">
        <v>45760</v>
      </c>
      <c r="L812" s="3">
        <v>45770</v>
      </c>
      <c r="M812" s="2" t="s">
        <v>21</v>
      </c>
      <c r="N812" s="2">
        <v>2</v>
      </c>
      <c r="O812" s="2" t="s">
        <v>480</v>
      </c>
      <c r="P812" s="25">
        <v>6.4</v>
      </c>
      <c r="Q812" t="str">
        <f t="shared" si="109"/>
        <v>0811</v>
      </c>
      <c r="R812" t="str">
        <f>IF('RETAIL SALES DATA.'!H812&gt;AVERAGE('RETAIL SALES DATA.'!H812:H1811),"HIGHEST VALUE","LOWEST VALUE")</f>
        <v>HIGHEST VALUE</v>
      </c>
      <c r="S812" t="str">
        <f t="shared" si="110"/>
        <v>Profit</v>
      </c>
      <c r="T812" t="str">
        <f t="shared" si="111"/>
        <v>Catherine Miller</v>
      </c>
      <c r="U812" t="str">
        <f t="shared" si="112"/>
        <v>Notebook</v>
      </c>
      <c r="V812">
        <f t="shared" si="113"/>
        <v>2025</v>
      </c>
      <c r="W812">
        <f t="shared" si="114"/>
        <v>4</v>
      </c>
      <c r="X812">
        <f t="shared" si="115"/>
        <v>13</v>
      </c>
      <c r="Y812" t="str">
        <f t="shared" si="116"/>
        <v>Apr</v>
      </c>
      <c r="Z812">
        <f t="shared" si="117"/>
        <v>10</v>
      </c>
    </row>
    <row r="813" spans="1:26" ht="15.75" customHeight="1" x14ac:dyDescent="0.3">
      <c r="A813" s="2" t="s">
        <v>1898</v>
      </c>
      <c r="B813" s="2" t="s">
        <v>1899</v>
      </c>
      <c r="C813" s="2" t="s">
        <v>139</v>
      </c>
      <c r="D813" s="2" t="s">
        <v>31</v>
      </c>
      <c r="E813" s="2" t="s">
        <v>20</v>
      </c>
      <c r="F813" s="2">
        <v>2</v>
      </c>
      <c r="G813" s="2">
        <v>335.67</v>
      </c>
      <c r="H813" s="2">
        <v>671.34</v>
      </c>
      <c r="I813" s="2">
        <v>515.69000000000005</v>
      </c>
      <c r="J813" s="2">
        <v>155.65</v>
      </c>
      <c r="K813" s="3">
        <v>45494</v>
      </c>
      <c r="L813" s="3">
        <v>45500</v>
      </c>
      <c r="M813" s="2" t="s">
        <v>123</v>
      </c>
      <c r="N813" s="2">
        <v>4</v>
      </c>
      <c r="O813" s="2" t="s">
        <v>509</v>
      </c>
      <c r="P813" s="25">
        <v>8.8000000000000007</v>
      </c>
      <c r="Q813" t="str">
        <f t="shared" si="109"/>
        <v>0812</v>
      </c>
      <c r="R813" t="str">
        <f>IF('RETAIL SALES DATA.'!H813&gt;AVERAGE('RETAIL SALES DATA.'!H813:H1812),"HIGHEST VALUE","LOWEST VALUE")</f>
        <v>LOWEST VALUE</v>
      </c>
      <c r="S813" t="str">
        <f t="shared" si="110"/>
        <v>Profit</v>
      </c>
      <c r="T813" t="str">
        <f t="shared" si="111"/>
        <v>Michael David</v>
      </c>
      <c r="U813" t="str">
        <f t="shared" si="112"/>
        <v>Sofa</v>
      </c>
      <c r="V813">
        <f t="shared" si="113"/>
        <v>2024</v>
      </c>
      <c r="W813">
        <f t="shared" si="114"/>
        <v>7</v>
      </c>
      <c r="X813">
        <f t="shared" si="115"/>
        <v>21</v>
      </c>
      <c r="Y813" t="str">
        <f t="shared" si="116"/>
        <v>Jul</v>
      </c>
      <c r="Z813">
        <f t="shared" si="117"/>
        <v>6</v>
      </c>
    </row>
    <row r="814" spans="1:26" ht="15.75" customHeight="1" x14ac:dyDescent="0.3">
      <c r="A814" s="2" t="s">
        <v>1900</v>
      </c>
      <c r="B814" s="2" t="s">
        <v>1901</v>
      </c>
      <c r="C814" s="2" t="s">
        <v>144</v>
      </c>
      <c r="D814" s="2" t="s">
        <v>19</v>
      </c>
      <c r="E814" s="2" t="s">
        <v>32</v>
      </c>
      <c r="F814" s="2">
        <v>17</v>
      </c>
      <c r="G814" s="2">
        <v>1922.44</v>
      </c>
      <c r="H814" s="2">
        <v>32681.48</v>
      </c>
      <c r="I814" s="2">
        <v>20040.349999999999</v>
      </c>
      <c r="J814" s="2">
        <v>12641.13</v>
      </c>
      <c r="K814" s="3">
        <v>46092</v>
      </c>
      <c r="L814" s="3">
        <v>46097</v>
      </c>
      <c r="M814" s="2" t="s">
        <v>45</v>
      </c>
      <c r="N814" s="2">
        <v>3</v>
      </c>
      <c r="O814" s="2" t="s">
        <v>229</v>
      </c>
      <c r="P814" s="25">
        <v>7.2</v>
      </c>
      <c r="Q814" t="str">
        <f t="shared" si="109"/>
        <v>0813</v>
      </c>
      <c r="R814" t="str">
        <f>IF('RETAIL SALES DATA.'!H814&gt;AVERAGE('RETAIL SALES DATA.'!H814:H1813),"HIGHEST VALUE","LOWEST VALUE")</f>
        <v>HIGHEST VALUE</v>
      </c>
      <c r="S814" t="str">
        <f t="shared" si="110"/>
        <v>Profit</v>
      </c>
      <c r="T814" t="str">
        <f t="shared" si="111"/>
        <v>Morgan Thomas</v>
      </c>
      <c r="U814" t="str">
        <f t="shared" si="112"/>
        <v>File</v>
      </c>
      <c r="V814">
        <f t="shared" si="113"/>
        <v>2026</v>
      </c>
      <c r="W814">
        <f t="shared" si="114"/>
        <v>3</v>
      </c>
      <c r="X814">
        <f t="shared" si="115"/>
        <v>11</v>
      </c>
      <c r="Y814" t="str">
        <f t="shared" si="116"/>
        <v>Mar</v>
      </c>
      <c r="Z814">
        <f t="shared" si="117"/>
        <v>5</v>
      </c>
    </row>
    <row r="815" spans="1:26" ht="15.75" customHeight="1" x14ac:dyDescent="0.3">
      <c r="A815" s="2" t="s">
        <v>1902</v>
      </c>
      <c r="B815" s="2" t="s">
        <v>1903</v>
      </c>
      <c r="C815" s="2" t="s">
        <v>62</v>
      </c>
      <c r="D815" s="2" t="s">
        <v>31</v>
      </c>
      <c r="E815" s="2" t="s">
        <v>20</v>
      </c>
      <c r="F815" s="2">
        <v>7</v>
      </c>
      <c r="G815" s="2">
        <v>1211.6099999999999</v>
      </c>
      <c r="H815" s="2">
        <v>8481.27</v>
      </c>
      <c r="I815" s="2">
        <v>5031.04</v>
      </c>
      <c r="J815" s="2">
        <v>3450.23</v>
      </c>
      <c r="K815" s="3">
        <v>45562</v>
      </c>
      <c r="L815" s="3">
        <v>45566</v>
      </c>
      <c r="M815" s="2" t="s">
        <v>58</v>
      </c>
      <c r="N815" s="2">
        <v>1</v>
      </c>
      <c r="O815" s="2" t="s">
        <v>1341</v>
      </c>
      <c r="P815" s="25">
        <v>6.6</v>
      </c>
      <c r="Q815" t="str">
        <f t="shared" si="109"/>
        <v>0814</v>
      </c>
      <c r="R815" t="str">
        <f>IF('RETAIL SALES DATA.'!H815&gt;AVERAGE('RETAIL SALES DATA.'!H815:H1814),"HIGHEST VALUE","LOWEST VALUE")</f>
        <v>LOWEST VALUE</v>
      </c>
      <c r="S815" t="str">
        <f t="shared" si="110"/>
        <v>Profit</v>
      </c>
      <c r="T815" t="str">
        <f t="shared" si="111"/>
        <v>Tara Patel</v>
      </c>
      <c r="U815" t="str">
        <f t="shared" si="112"/>
        <v>Table</v>
      </c>
      <c r="V815">
        <f t="shared" si="113"/>
        <v>2024</v>
      </c>
      <c r="W815">
        <f t="shared" si="114"/>
        <v>10</v>
      </c>
      <c r="X815">
        <f t="shared" si="115"/>
        <v>27</v>
      </c>
      <c r="Y815" t="str">
        <f t="shared" si="116"/>
        <v>Sep</v>
      </c>
      <c r="Z815">
        <f t="shared" si="117"/>
        <v>4</v>
      </c>
    </row>
    <row r="816" spans="1:26" ht="15.75" customHeight="1" x14ac:dyDescent="0.3">
      <c r="A816" s="2" t="s">
        <v>1904</v>
      </c>
      <c r="B816" s="2" t="s">
        <v>1905</v>
      </c>
      <c r="C816" s="2" t="s">
        <v>62</v>
      </c>
      <c r="D816" s="2" t="s">
        <v>31</v>
      </c>
      <c r="E816" s="2" t="s">
        <v>32</v>
      </c>
      <c r="F816" s="2">
        <v>3</v>
      </c>
      <c r="G816" s="2">
        <v>3634.27</v>
      </c>
      <c r="H816" s="2">
        <v>10902.81</v>
      </c>
      <c r="I816" s="2">
        <v>9278.7900000000009</v>
      </c>
      <c r="J816" s="2">
        <v>1624.02</v>
      </c>
      <c r="K816" s="3">
        <v>45814</v>
      </c>
      <c r="L816" s="3">
        <v>45821</v>
      </c>
      <c r="M816" s="2" t="s">
        <v>123</v>
      </c>
      <c r="N816" s="2">
        <v>4</v>
      </c>
      <c r="O816" s="2" t="s">
        <v>409</v>
      </c>
      <c r="P816" s="25">
        <v>7.2</v>
      </c>
      <c r="Q816" t="str">
        <f t="shared" si="109"/>
        <v>0815</v>
      </c>
      <c r="R816" t="str">
        <f>IF('RETAIL SALES DATA.'!H816&gt;AVERAGE('RETAIL SALES DATA.'!H816:H1815),"HIGHEST VALUE","LOWEST VALUE")</f>
        <v>LOWEST VALUE</v>
      </c>
      <c r="S816" t="str">
        <f t="shared" si="110"/>
        <v>Profit</v>
      </c>
      <c r="T816" t="str">
        <f t="shared" si="111"/>
        <v>Stephanie Ellis</v>
      </c>
      <c r="U816" t="str">
        <f t="shared" si="112"/>
        <v>Table</v>
      </c>
      <c r="V816">
        <f t="shared" si="113"/>
        <v>2025</v>
      </c>
      <c r="W816">
        <f t="shared" si="114"/>
        <v>6</v>
      </c>
      <c r="X816">
        <f t="shared" si="115"/>
        <v>6</v>
      </c>
      <c r="Y816" t="str">
        <f t="shared" si="116"/>
        <v>Jun</v>
      </c>
      <c r="Z816">
        <f t="shared" si="117"/>
        <v>7</v>
      </c>
    </row>
    <row r="817" spans="1:26" ht="15.75" customHeight="1" x14ac:dyDescent="0.3">
      <c r="A817" s="2" t="s">
        <v>1906</v>
      </c>
      <c r="B817" s="2" t="s">
        <v>1907</v>
      </c>
      <c r="C817" s="2" t="s">
        <v>144</v>
      </c>
      <c r="D817" s="2" t="s">
        <v>19</v>
      </c>
      <c r="E817" s="2" t="s">
        <v>32</v>
      </c>
      <c r="F817" s="2">
        <v>12</v>
      </c>
      <c r="G817" s="2">
        <v>4253.79</v>
      </c>
      <c r="H817" s="2">
        <v>51045.48</v>
      </c>
      <c r="I817" s="2">
        <v>28313.84</v>
      </c>
      <c r="J817" s="2">
        <v>22731.64</v>
      </c>
      <c r="K817" s="3">
        <v>46150</v>
      </c>
      <c r="L817" s="3">
        <v>46152</v>
      </c>
      <c r="M817" s="2" t="s">
        <v>45</v>
      </c>
      <c r="N817" s="2">
        <v>4</v>
      </c>
      <c r="O817" s="2" t="s">
        <v>560</v>
      </c>
      <c r="P817" s="25">
        <v>8.4</v>
      </c>
      <c r="Q817" t="str">
        <f t="shared" si="109"/>
        <v>0816</v>
      </c>
      <c r="R817" t="str">
        <f>IF('RETAIL SALES DATA.'!H817&gt;AVERAGE('RETAIL SALES DATA.'!H817:H1816),"HIGHEST VALUE","LOWEST VALUE")</f>
        <v>HIGHEST VALUE</v>
      </c>
      <c r="S817" t="str">
        <f t="shared" si="110"/>
        <v>Profit</v>
      </c>
      <c r="T817" t="str">
        <f t="shared" si="111"/>
        <v>Debra Powell</v>
      </c>
      <c r="U817" t="str">
        <f t="shared" si="112"/>
        <v>File</v>
      </c>
      <c r="V817">
        <f t="shared" si="113"/>
        <v>2026</v>
      </c>
      <c r="W817">
        <f t="shared" si="114"/>
        <v>5</v>
      </c>
      <c r="X817">
        <f t="shared" si="115"/>
        <v>8</v>
      </c>
      <c r="Y817" t="str">
        <f t="shared" si="116"/>
        <v>May</v>
      </c>
      <c r="Z817">
        <f t="shared" si="117"/>
        <v>2</v>
      </c>
    </row>
    <row r="818" spans="1:26" ht="15.75" customHeight="1" x14ac:dyDescent="0.3">
      <c r="A818" s="2" t="s">
        <v>1908</v>
      </c>
      <c r="B818" s="2" t="s">
        <v>1909</v>
      </c>
      <c r="C818" s="2" t="s">
        <v>144</v>
      </c>
      <c r="D818" s="2" t="s">
        <v>19</v>
      </c>
      <c r="E818" s="2" t="s">
        <v>25</v>
      </c>
      <c r="F818" s="2">
        <v>11</v>
      </c>
      <c r="G818" s="2">
        <v>2964.66</v>
      </c>
      <c r="H818" s="2">
        <v>32611.26</v>
      </c>
      <c r="I818" s="2">
        <v>28711.75</v>
      </c>
      <c r="J818" s="2">
        <v>3899.51</v>
      </c>
      <c r="K818" s="3">
        <v>45557</v>
      </c>
      <c r="L818" s="3">
        <v>45559</v>
      </c>
      <c r="M818" s="2" t="s">
        <v>45</v>
      </c>
      <c r="N818" s="2">
        <v>5</v>
      </c>
      <c r="O818" s="2" t="s">
        <v>426</v>
      </c>
      <c r="P818" s="25">
        <v>9.6</v>
      </c>
      <c r="Q818" t="str">
        <f t="shared" si="109"/>
        <v>0817</v>
      </c>
      <c r="R818" t="str">
        <f>IF('RETAIL SALES DATA.'!H818&gt;AVERAGE('RETAIL SALES DATA.'!H818:H1817),"HIGHEST VALUE","LOWEST VALUE")</f>
        <v>HIGHEST VALUE</v>
      </c>
      <c r="S818" t="str">
        <f t="shared" si="110"/>
        <v>Profit</v>
      </c>
      <c r="T818" t="str">
        <f t="shared" si="111"/>
        <v>Troy Richards</v>
      </c>
      <c r="U818" t="str">
        <f t="shared" si="112"/>
        <v>File</v>
      </c>
      <c r="V818">
        <f t="shared" si="113"/>
        <v>2024</v>
      </c>
      <c r="W818">
        <f t="shared" si="114"/>
        <v>9</v>
      </c>
      <c r="X818">
        <f t="shared" si="115"/>
        <v>22</v>
      </c>
      <c r="Y818" t="str">
        <f t="shared" si="116"/>
        <v>Sep</v>
      </c>
      <c r="Z818">
        <f t="shared" si="117"/>
        <v>2</v>
      </c>
    </row>
    <row r="819" spans="1:26" ht="15.75" customHeight="1" x14ac:dyDescent="0.3">
      <c r="A819" s="2" t="s">
        <v>1910</v>
      </c>
      <c r="B819" s="2" t="s">
        <v>1911</v>
      </c>
      <c r="C819" s="2" t="s">
        <v>18</v>
      </c>
      <c r="D819" s="2" t="s">
        <v>19</v>
      </c>
      <c r="E819" s="2" t="s">
        <v>32</v>
      </c>
      <c r="F819" s="2">
        <v>6</v>
      </c>
      <c r="G819" s="2">
        <v>985.35</v>
      </c>
      <c r="H819" s="2">
        <v>5912.1</v>
      </c>
      <c r="I819" s="2">
        <v>3992.75</v>
      </c>
      <c r="J819" s="2">
        <v>1919.35</v>
      </c>
      <c r="K819" s="3">
        <v>45575</v>
      </c>
      <c r="L819" s="3">
        <v>45578</v>
      </c>
      <c r="M819" s="2" t="s">
        <v>50</v>
      </c>
      <c r="N819" s="2">
        <v>3</v>
      </c>
      <c r="O819" s="2" t="s">
        <v>340</v>
      </c>
      <c r="P819" s="25">
        <v>8</v>
      </c>
      <c r="Q819" t="str">
        <f t="shared" si="109"/>
        <v>0818</v>
      </c>
      <c r="R819" t="str">
        <f>IF('RETAIL SALES DATA.'!H819&gt;AVERAGE('RETAIL SALES DATA.'!H819:H1818),"HIGHEST VALUE","LOWEST VALUE")</f>
        <v>LOWEST VALUE</v>
      </c>
      <c r="S819" t="str">
        <f t="shared" si="110"/>
        <v>Profit</v>
      </c>
      <c r="T819" t="str">
        <f t="shared" si="111"/>
        <v>Joseph Mata</v>
      </c>
      <c r="U819" t="str">
        <f t="shared" si="112"/>
        <v>Pen</v>
      </c>
      <c r="V819">
        <f t="shared" si="113"/>
        <v>2024</v>
      </c>
      <c r="W819">
        <f t="shared" si="114"/>
        <v>10</v>
      </c>
      <c r="X819">
        <f t="shared" si="115"/>
        <v>10</v>
      </c>
      <c r="Y819" t="str">
        <f t="shared" si="116"/>
        <v>Oct</v>
      </c>
      <c r="Z819">
        <f t="shared" si="117"/>
        <v>3</v>
      </c>
    </row>
    <row r="820" spans="1:26" ht="15.75" customHeight="1" x14ac:dyDescent="0.3">
      <c r="A820" s="2" t="s">
        <v>1912</v>
      </c>
      <c r="B820" s="2" t="s">
        <v>1913</v>
      </c>
      <c r="C820" s="2" t="s">
        <v>72</v>
      </c>
      <c r="D820" s="2" t="s">
        <v>31</v>
      </c>
      <c r="E820" s="2" t="s">
        <v>25</v>
      </c>
      <c r="F820" s="2">
        <v>9</v>
      </c>
      <c r="G820" s="2">
        <v>1030.31</v>
      </c>
      <c r="H820" s="2">
        <v>9272.7900000000009</v>
      </c>
      <c r="I820" s="2">
        <v>7765.33</v>
      </c>
      <c r="J820" s="2">
        <v>1507.46</v>
      </c>
      <c r="K820" s="3">
        <v>46056</v>
      </c>
      <c r="L820" s="3">
        <v>46065</v>
      </c>
      <c r="M820" s="2" t="s">
        <v>50</v>
      </c>
      <c r="N820" s="2">
        <v>1</v>
      </c>
      <c r="O820" s="2" t="s">
        <v>214</v>
      </c>
      <c r="P820" s="25">
        <v>7.2</v>
      </c>
      <c r="Q820" t="str">
        <f t="shared" si="109"/>
        <v>0819</v>
      </c>
      <c r="R820" t="str">
        <f>IF('RETAIL SALES DATA.'!H820&gt;AVERAGE('RETAIL SALES DATA.'!H820:H1819),"HIGHEST VALUE","LOWEST VALUE")</f>
        <v>LOWEST VALUE</v>
      </c>
      <c r="S820" t="str">
        <f t="shared" si="110"/>
        <v>Profit</v>
      </c>
      <c r="T820" t="str">
        <f t="shared" si="111"/>
        <v>Brian Campbell</v>
      </c>
      <c r="U820" t="str">
        <f t="shared" si="112"/>
        <v>Chair</v>
      </c>
      <c r="V820">
        <f t="shared" si="113"/>
        <v>2026</v>
      </c>
      <c r="W820">
        <f t="shared" si="114"/>
        <v>2</v>
      </c>
      <c r="X820">
        <f t="shared" si="115"/>
        <v>3</v>
      </c>
      <c r="Y820" t="str">
        <f t="shared" si="116"/>
        <v>Feb</v>
      </c>
      <c r="Z820">
        <f t="shared" si="117"/>
        <v>9</v>
      </c>
    </row>
    <row r="821" spans="1:26" ht="15.75" customHeight="1" x14ac:dyDescent="0.3">
      <c r="A821" s="2" t="s">
        <v>1914</v>
      </c>
      <c r="B821" s="2" t="s">
        <v>1915</v>
      </c>
      <c r="C821" s="2" t="s">
        <v>195</v>
      </c>
      <c r="D821" s="2" t="s">
        <v>43</v>
      </c>
      <c r="E821" s="2" t="s">
        <v>44</v>
      </c>
      <c r="F821" s="2">
        <v>6</v>
      </c>
      <c r="G821" s="2">
        <v>191.73</v>
      </c>
      <c r="H821" s="2">
        <v>1150.3800000000001</v>
      </c>
      <c r="I821" s="2">
        <v>732.31</v>
      </c>
      <c r="J821" s="2">
        <v>418.07</v>
      </c>
      <c r="K821" s="3">
        <v>45846</v>
      </c>
      <c r="L821" s="3">
        <v>45855</v>
      </c>
      <c r="M821" s="2" t="s">
        <v>45</v>
      </c>
      <c r="N821" s="2">
        <v>4</v>
      </c>
      <c r="O821" s="2" t="s">
        <v>712</v>
      </c>
      <c r="P821" s="25">
        <v>6.4</v>
      </c>
      <c r="Q821" t="str">
        <f t="shared" si="109"/>
        <v>0820</v>
      </c>
      <c r="R821" t="str">
        <f>IF('RETAIL SALES DATA.'!H821&gt;AVERAGE('RETAIL SALES DATA.'!H821:H1820),"HIGHEST VALUE","LOWEST VALUE")</f>
        <v>LOWEST VALUE</v>
      </c>
      <c r="S821" t="str">
        <f t="shared" si="110"/>
        <v>Profit</v>
      </c>
      <c r="T821" t="str">
        <f t="shared" si="111"/>
        <v>Jasmine Smith</v>
      </c>
      <c r="U821" t="str">
        <f t="shared" si="112"/>
        <v>Monitor</v>
      </c>
      <c r="V821">
        <f t="shared" si="113"/>
        <v>2025</v>
      </c>
      <c r="W821">
        <f t="shared" si="114"/>
        <v>7</v>
      </c>
      <c r="X821">
        <f t="shared" si="115"/>
        <v>8</v>
      </c>
      <c r="Y821" t="str">
        <f t="shared" si="116"/>
        <v>Jul</v>
      </c>
      <c r="Z821">
        <f t="shared" si="117"/>
        <v>9</v>
      </c>
    </row>
    <row r="822" spans="1:26" ht="15.75" customHeight="1" x14ac:dyDescent="0.3">
      <c r="A822" s="2" t="s">
        <v>1916</v>
      </c>
      <c r="B822" s="2" t="s">
        <v>1917</v>
      </c>
      <c r="C822" s="2" t="s">
        <v>37</v>
      </c>
      <c r="D822" s="2" t="s">
        <v>19</v>
      </c>
      <c r="E822" s="2" t="s">
        <v>20</v>
      </c>
      <c r="F822" s="2">
        <v>4</v>
      </c>
      <c r="G822" s="2">
        <v>1315.43</v>
      </c>
      <c r="H822" s="2">
        <v>5261.72</v>
      </c>
      <c r="I822" s="2">
        <v>2914.03</v>
      </c>
      <c r="J822" s="2">
        <v>2347.69</v>
      </c>
      <c r="K822" s="3">
        <v>45756</v>
      </c>
      <c r="L822" s="3">
        <v>45757</v>
      </c>
      <c r="M822" s="2" t="s">
        <v>50</v>
      </c>
      <c r="N822" s="2">
        <v>4</v>
      </c>
      <c r="O822" s="2" t="s">
        <v>548</v>
      </c>
      <c r="P822" s="25">
        <v>8.6</v>
      </c>
      <c r="Q822" t="str">
        <f t="shared" si="109"/>
        <v>0821</v>
      </c>
      <c r="R822" t="str">
        <f>IF('RETAIL SALES DATA.'!H822&gt;AVERAGE('RETAIL SALES DATA.'!H822:H1821),"HIGHEST VALUE","LOWEST VALUE")</f>
        <v>LOWEST VALUE</v>
      </c>
      <c r="S822" t="str">
        <f t="shared" si="110"/>
        <v>Profit</v>
      </c>
      <c r="T822" t="str">
        <f t="shared" si="111"/>
        <v>Alan Nicholson</v>
      </c>
      <c r="U822" t="str">
        <f t="shared" si="112"/>
        <v>Marker</v>
      </c>
      <c r="V822">
        <f t="shared" si="113"/>
        <v>2025</v>
      </c>
      <c r="W822">
        <f t="shared" si="114"/>
        <v>4</v>
      </c>
      <c r="X822">
        <f t="shared" si="115"/>
        <v>9</v>
      </c>
      <c r="Y822" t="str">
        <f t="shared" si="116"/>
        <v>Apr</v>
      </c>
      <c r="Z822">
        <f t="shared" si="117"/>
        <v>1</v>
      </c>
    </row>
    <row r="823" spans="1:26" ht="15.75" customHeight="1" x14ac:dyDescent="0.3">
      <c r="A823" s="2" t="s">
        <v>1918</v>
      </c>
      <c r="B823" s="2" t="s">
        <v>1919</v>
      </c>
      <c r="C823" s="2" t="s">
        <v>62</v>
      </c>
      <c r="D823" s="2" t="s">
        <v>31</v>
      </c>
      <c r="E823" s="2" t="s">
        <v>44</v>
      </c>
      <c r="F823" s="2">
        <v>2</v>
      </c>
      <c r="G823" s="2">
        <v>2965.04</v>
      </c>
      <c r="H823" s="2">
        <v>5930.08</v>
      </c>
      <c r="I823" s="2">
        <v>3940.12</v>
      </c>
      <c r="J823" s="2">
        <v>1989.96</v>
      </c>
      <c r="K823" s="3">
        <v>46135</v>
      </c>
      <c r="L823" s="3">
        <v>46138</v>
      </c>
      <c r="M823" s="2" t="s">
        <v>45</v>
      </c>
      <c r="N823" s="2">
        <v>3</v>
      </c>
      <c r="O823" s="2" t="s">
        <v>294</v>
      </c>
      <c r="P823" s="25">
        <v>9.5</v>
      </c>
      <c r="Q823" t="str">
        <f t="shared" si="109"/>
        <v>0822</v>
      </c>
      <c r="R823" t="str">
        <f>IF('RETAIL SALES DATA.'!H823&gt;AVERAGE('RETAIL SALES DATA.'!H823:H1822),"HIGHEST VALUE","LOWEST VALUE")</f>
        <v>LOWEST VALUE</v>
      </c>
      <c r="S823" t="str">
        <f t="shared" si="110"/>
        <v>Profit</v>
      </c>
      <c r="T823" t="str">
        <f t="shared" si="111"/>
        <v>Megan Wallace</v>
      </c>
      <c r="U823" t="str">
        <f t="shared" si="112"/>
        <v>Table</v>
      </c>
      <c r="V823">
        <f t="shared" si="113"/>
        <v>2026</v>
      </c>
      <c r="W823">
        <f t="shared" si="114"/>
        <v>4</v>
      </c>
      <c r="X823">
        <f t="shared" si="115"/>
        <v>23</v>
      </c>
      <c r="Y823" t="str">
        <f t="shared" si="116"/>
        <v>Apr</v>
      </c>
      <c r="Z823">
        <f t="shared" si="117"/>
        <v>3</v>
      </c>
    </row>
    <row r="824" spans="1:26" ht="15.75" customHeight="1" x14ac:dyDescent="0.3">
      <c r="A824" s="2" t="s">
        <v>1920</v>
      </c>
      <c r="B824" s="2" t="s">
        <v>1921</v>
      </c>
      <c r="C824" s="2" t="s">
        <v>195</v>
      </c>
      <c r="D824" s="2" t="s">
        <v>43</v>
      </c>
      <c r="E824" s="2" t="s">
        <v>44</v>
      </c>
      <c r="F824" s="2">
        <v>4</v>
      </c>
      <c r="G824" s="2">
        <v>345.37</v>
      </c>
      <c r="H824" s="2">
        <v>1381.48</v>
      </c>
      <c r="I824" s="2">
        <v>1050.19</v>
      </c>
      <c r="J824" s="2">
        <v>331.29</v>
      </c>
      <c r="K824" s="3">
        <v>46006</v>
      </c>
      <c r="L824" s="3">
        <v>46015</v>
      </c>
      <c r="M824" s="2" t="s">
        <v>21</v>
      </c>
      <c r="N824" s="2">
        <v>2</v>
      </c>
      <c r="O824" s="2" t="s">
        <v>232</v>
      </c>
      <c r="P824" s="25">
        <v>9.6999999999999993</v>
      </c>
      <c r="Q824" t="str">
        <f t="shared" si="109"/>
        <v>0823</v>
      </c>
      <c r="R824" t="str">
        <f>IF('RETAIL SALES DATA.'!H824&gt;AVERAGE('RETAIL SALES DATA.'!H824:H1823),"HIGHEST VALUE","LOWEST VALUE")</f>
        <v>LOWEST VALUE</v>
      </c>
      <c r="S824" t="str">
        <f t="shared" si="110"/>
        <v>Profit</v>
      </c>
      <c r="T824" t="str">
        <f t="shared" si="111"/>
        <v>William Brown</v>
      </c>
      <c r="U824" t="str">
        <f t="shared" si="112"/>
        <v>Monitor</v>
      </c>
      <c r="V824">
        <f t="shared" si="113"/>
        <v>2025</v>
      </c>
      <c r="W824">
        <f t="shared" si="114"/>
        <v>12</v>
      </c>
      <c r="X824">
        <f t="shared" si="115"/>
        <v>15</v>
      </c>
      <c r="Y824" t="str">
        <f t="shared" si="116"/>
        <v>Dec</v>
      </c>
      <c r="Z824">
        <f t="shared" si="117"/>
        <v>9</v>
      </c>
    </row>
    <row r="825" spans="1:26" ht="15.75" customHeight="1" x14ac:dyDescent="0.3">
      <c r="A825" s="2" t="s">
        <v>1922</v>
      </c>
      <c r="B825" s="2" t="s">
        <v>1923</v>
      </c>
      <c r="C825" s="2" t="s">
        <v>72</v>
      </c>
      <c r="D825" s="2" t="s">
        <v>31</v>
      </c>
      <c r="E825" s="2" t="s">
        <v>20</v>
      </c>
      <c r="F825" s="2">
        <v>17</v>
      </c>
      <c r="G825" s="2">
        <v>2217.12</v>
      </c>
      <c r="H825" s="2">
        <v>37691.040000000001</v>
      </c>
      <c r="I825" s="2">
        <v>19692.310000000001</v>
      </c>
      <c r="J825" s="2">
        <v>17998.73</v>
      </c>
      <c r="K825" s="3">
        <v>45723</v>
      </c>
      <c r="L825" s="3">
        <v>45726</v>
      </c>
      <c r="M825" s="2" t="s">
        <v>181</v>
      </c>
      <c r="N825" s="2">
        <v>4</v>
      </c>
      <c r="O825" s="2" t="s">
        <v>1017</v>
      </c>
      <c r="P825" s="25">
        <v>8.3000000000000007</v>
      </c>
      <c r="Q825" t="str">
        <f t="shared" si="109"/>
        <v>0824</v>
      </c>
      <c r="R825" t="str">
        <f>IF('RETAIL SALES DATA.'!H825&gt;AVERAGE('RETAIL SALES DATA.'!H825:H1824),"HIGHEST VALUE","LOWEST VALUE")</f>
        <v>HIGHEST VALUE</v>
      </c>
      <c r="S825" t="str">
        <f t="shared" si="110"/>
        <v>Profit</v>
      </c>
      <c r="T825" t="str">
        <f t="shared" si="111"/>
        <v>Eric Freeman</v>
      </c>
      <c r="U825" t="str">
        <f t="shared" si="112"/>
        <v>Chair</v>
      </c>
      <c r="V825">
        <f t="shared" si="113"/>
        <v>2025</v>
      </c>
      <c r="W825">
        <f t="shared" si="114"/>
        <v>3</v>
      </c>
      <c r="X825">
        <f t="shared" si="115"/>
        <v>7</v>
      </c>
      <c r="Y825" t="str">
        <f t="shared" si="116"/>
        <v>Mar</v>
      </c>
      <c r="Z825">
        <f t="shared" si="117"/>
        <v>3</v>
      </c>
    </row>
    <row r="826" spans="1:26" ht="15.75" customHeight="1" x14ac:dyDescent="0.3">
      <c r="A826" s="2" t="s">
        <v>1924</v>
      </c>
      <c r="B826" s="2" t="s">
        <v>1925</v>
      </c>
      <c r="C826" s="2" t="s">
        <v>57</v>
      </c>
      <c r="D826" s="2" t="s">
        <v>19</v>
      </c>
      <c r="E826" s="2" t="s">
        <v>20</v>
      </c>
      <c r="F826" s="2">
        <v>6</v>
      </c>
      <c r="G826" s="2">
        <v>1225.77</v>
      </c>
      <c r="H826" s="2">
        <v>7354.62</v>
      </c>
      <c r="I826" s="2">
        <v>4727.16</v>
      </c>
      <c r="J826" s="2">
        <v>2627.46</v>
      </c>
      <c r="K826" s="3">
        <v>45930</v>
      </c>
      <c r="L826" s="3">
        <v>45936</v>
      </c>
      <c r="M826" s="2" t="s">
        <v>58</v>
      </c>
      <c r="N826" s="2">
        <v>3</v>
      </c>
      <c r="O826" s="2" t="s">
        <v>638</v>
      </c>
      <c r="P826" s="25">
        <v>6.1</v>
      </c>
      <c r="Q826" t="str">
        <f t="shared" si="109"/>
        <v>0825</v>
      </c>
      <c r="R826" t="str">
        <f>IF('RETAIL SALES DATA.'!H826&gt;AVERAGE('RETAIL SALES DATA.'!H826:H1825),"HIGHEST VALUE","LOWEST VALUE")</f>
        <v>LOWEST VALUE</v>
      </c>
      <c r="S826" t="str">
        <f t="shared" si="110"/>
        <v>Profit</v>
      </c>
      <c r="T826" t="str">
        <f t="shared" si="111"/>
        <v>Bradley Mcmillan</v>
      </c>
      <c r="U826" t="str">
        <f t="shared" si="112"/>
        <v>Notebook</v>
      </c>
      <c r="V826">
        <f t="shared" si="113"/>
        <v>2025</v>
      </c>
      <c r="W826">
        <f t="shared" si="114"/>
        <v>10</v>
      </c>
      <c r="X826">
        <f t="shared" si="115"/>
        <v>30</v>
      </c>
      <c r="Y826" t="str">
        <f t="shared" si="116"/>
        <v>Sep</v>
      </c>
      <c r="Z826">
        <f t="shared" si="117"/>
        <v>6</v>
      </c>
    </row>
    <row r="827" spans="1:26" ht="15.75" customHeight="1" x14ac:dyDescent="0.3">
      <c r="A827" s="2" t="s">
        <v>1926</v>
      </c>
      <c r="B827" s="2" t="s">
        <v>1927</v>
      </c>
      <c r="C827" s="2" t="s">
        <v>62</v>
      </c>
      <c r="D827" s="2" t="s">
        <v>31</v>
      </c>
      <c r="E827" s="2" t="s">
        <v>20</v>
      </c>
      <c r="F827" s="2">
        <v>10</v>
      </c>
      <c r="G827" s="2">
        <v>102.8</v>
      </c>
      <c r="H827" s="2">
        <v>1028</v>
      </c>
      <c r="I827" s="2">
        <v>773.31</v>
      </c>
      <c r="J827" s="2">
        <v>254.69</v>
      </c>
      <c r="K827" s="3">
        <v>45796</v>
      </c>
      <c r="L827" s="3">
        <v>45803</v>
      </c>
      <c r="M827" s="2" t="s">
        <v>123</v>
      </c>
      <c r="N827" s="2">
        <v>1</v>
      </c>
      <c r="O827" s="2" t="s">
        <v>541</v>
      </c>
      <c r="P827" s="25">
        <v>6.6</v>
      </c>
      <c r="Q827" t="str">
        <f t="shared" si="109"/>
        <v>0826</v>
      </c>
      <c r="R827" t="str">
        <f>IF('RETAIL SALES DATA.'!H827&gt;AVERAGE('RETAIL SALES DATA.'!H827:H1826),"HIGHEST VALUE","LOWEST VALUE")</f>
        <v>LOWEST VALUE</v>
      </c>
      <c r="S827" t="str">
        <f t="shared" si="110"/>
        <v>Profit</v>
      </c>
      <c r="T827" t="str">
        <f t="shared" si="111"/>
        <v>Susan Benton</v>
      </c>
      <c r="U827" t="str">
        <f t="shared" si="112"/>
        <v>Table</v>
      </c>
      <c r="V827">
        <f t="shared" si="113"/>
        <v>2025</v>
      </c>
      <c r="W827">
        <f t="shared" si="114"/>
        <v>5</v>
      </c>
      <c r="X827">
        <f t="shared" si="115"/>
        <v>19</v>
      </c>
      <c r="Y827" t="str">
        <f t="shared" si="116"/>
        <v>May</v>
      </c>
      <c r="Z827">
        <f t="shared" si="117"/>
        <v>7</v>
      </c>
    </row>
    <row r="828" spans="1:26" ht="15.75" customHeight="1" x14ac:dyDescent="0.3">
      <c r="A828" s="2" t="s">
        <v>1928</v>
      </c>
      <c r="B828" s="2" t="s">
        <v>1929</v>
      </c>
      <c r="C828" s="2" t="s">
        <v>95</v>
      </c>
      <c r="D828" s="2" t="s">
        <v>19</v>
      </c>
      <c r="E828" s="2" t="s">
        <v>44</v>
      </c>
      <c r="F828" s="2">
        <v>15</v>
      </c>
      <c r="G828" s="2">
        <v>4345.5600000000004</v>
      </c>
      <c r="H828" s="2">
        <v>65183.4</v>
      </c>
      <c r="I828" s="2">
        <v>49365.97</v>
      </c>
      <c r="J828" s="2">
        <v>15817.43</v>
      </c>
      <c r="K828" s="3">
        <v>45617</v>
      </c>
      <c r="L828" s="3">
        <v>45620</v>
      </c>
      <c r="M828" s="2" t="s">
        <v>181</v>
      </c>
      <c r="N828" s="2">
        <v>2</v>
      </c>
      <c r="O828" s="2" t="s">
        <v>446</v>
      </c>
      <c r="P828" s="25">
        <v>6.8</v>
      </c>
      <c r="Q828" t="str">
        <f t="shared" si="109"/>
        <v>0827</v>
      </c>
      <c r="R828" t="str">
        <f>IF('RETAIL SALES DATA.'!H828&gt;AVERAGE('RETAIL SALES DATA.'!H828:H1827),"HIGHEST VALUE","LOWEST VALUE")</f>
        <v>HIGHEST VALUE</v>
      </c>
      <c r="S828" t="str">
        <f t="shared" si="110"/>
        <v>Profit</v>
      </c>
      <c r="T828" t="str">
        <f t="shared" si="111"/>
        <v>Michael Sanchez</v>
      </c>
      <c r="U828" t="str">
        <f t="shared" si="112"/>
        <v>Printer</v>
      </c>
      <c r="V828">
        <f t="shared" si="113"/>
        <v>2024</v>
      </c>
      <c r="W828">
        <f t="shared" si="114"/>
        <v>11</v>
      </c>
      <c r="X828">
        <f t="shared" si="115"/>
        <v>21</v>
      </c>
      <c r="Y828" t="str">
        <f t="shared" si="116"/>
        <v>Nov</v>
      </c>
      <c r="Z828">
        <f t="shared" si="117"/>
        <v>3</v>
      </c>
    </row>
    <row r="829" spans="1:26" ht="15.75" customHeight="1" x14ac:dyDescent="0.3">
      <c r="A829" s="2" t="s">
        <v>1930</v>
      </c>
      <c r="B829" s="2" t="s">
        <v>1931</v>
      </c>
      <c r="C829" s="2" t="s">
        <v>37</v>
      </c>
      <c r="D829" s="2" t="s">
        <v>19</v>
      </c>
      <c r="E829" s="2" t="s">
        <v>32</v>
      </c>
      <c r="F829" s="2">
        <v>15</v>
      </c>
      <c r="G829" s="2">
        <v>127.02</v>
      </c>
      <c r="H829" s="2">
        <v>1905.3</v>
      </c>
      <c r="I829" s="2">
        <v>1391.8</v>
      </c>
      <c r="J829" s="2">
        <v>513.5</v>
      </c>
      <c r="K829" s="3">
        <v>45538</v>
      </c>
      <c r="L829" s="3">
        <v>45547</v>
      </c>
      <c r="M829" s="2" t="s">
        <v>26</v>
      </c>
      <c r="N829" s="2">
        <v>1</v>
      </c>
      <c r="O829" s="2" t="s">
        <v>82</v>
      </c>
      <c r="P829" s="25">
        <v>9.6</v>
      </c>
      <c r="Q829" t="str">
        <f t="shared" si="109"/>
        <v>0828</v>
      </c>
      <c r="R829" t="str">
        <f>IF('RETAIL SALES DATA.'!H829&gt;AVERAGE('RETAIL SALES DATA.'!H829:H1828),"HIGHEST VALUE","LOWEST VALUE")</f>
        <v>LOWEST VALUE</v>
      </c>
      <c r="S829" t="str">
        <f t="shared" si="110"/>
        <v>Profit</v>
      </c>
      <c r="T829" t="str">
        <f t="shared" si="111"/>
        <v>James Parker</v>
      </c>
      <c r="U829" t="str">
        <f t="shared" si="112"/>
        <v>Marker</v>
      </c>
      <c r="V829">
        <f t="shared" si="113"/>
        <v>2024</v>
      </c>
      <c r="W829">
        <f t="shared" si="114"/>
        <v>9</v>
      </c>
      <c r="X829">
        <f t="shared" si="115"/>
        <v>3</v>
      </c>
      <c r="Y829" t="str">
        <f t="shared" si="116"/>
        <v>Sep</v>
      </c>
      <c r="Z829">
        <f t="shared" si="117"/>
        <v>9</v>
      </c>
    </row>
    <row r="830" spans="1:26" ht="15.75" customHeight="1" x14ac:dyDescent="0.3">
      <c r="A830" s="2" t="s">
        <v>1932</v>
      </c>
      <c r="B830" s="2" t="s">
        <v>1933</v>
      </c>
      <c r="C830" s="2" t="s">
        <v>62</v>
      </c>
      <c r="D830" s="2" t="s">
        <v>31</v>
      </c>
      <c r="E830" s="2" t="s">
        <v>20</v>
      </c>
      <c r="F830" s="2">
        <v>8</v>
      </c>
      <c r="G830" s="2">
        <v>4502.8999999999996</v>
      </c>
      <c r="H830" s="2">
        <v>36023.199999999997</v>
      </c>
      <c r="I830" s="2">
        <v>24729.53</v>
      </c>
      <c r="J830" s="2">
        <v>11293.67</v>
      </c>
      <c r="K830" s="3">
        <v>45535</v>
      </c>
      <c r="L830" s="3">
        <v>45543</v>
      </c>
      <c r="M830" s="2" t="s">
        <v>123</v>
      </c>
      <c r="N830" s="2">
        <v>1</v>
      </c>
      <c r="O830" s="2" t="s">
        <v>417</v>
      </c>
      <c r="P830" s="25">
        <v>6.9</v>
      </c>
      <c r="Q830" t="str">
        <f t="shared" si="109"/>
        <v>0829</v>
      </c>
      <c r="R830" t="str">
        <f>IF('RETAIL SALES DATA.'!H830&gt;AVERAGE('RETAIL SALES DATA.'!H830:H1829),"HIGHEST VALUE","LOWEST VALUE")</f>
        <v>HIGHEST VALUE</v>
      </c>
      <c r="S830" t="str">
        <f t="shared" si="110"/>
        <v>Profit</v>
      </c>
      <c r="T830" t="str">
        <f t="shared" si="111"/>
        <v>Rachel Cook</v>
      </c>
      <c r="U830" t="str">
        <f t="shared" si="112"/>
        <v>Table</v>
      </c>
      <c r="V830">
        <f t="shared" si="113"/>
        <v>2024</v>
      </c>
      <c r="W830">
        <f t="shared" si="114"/>
        <v>9</v>
      </c>
      <c r="X830">
        <f t="shared" si="115"/>
        <v>31</v>
      </c>
      <c r="Y830" t="str">
        <f t="shared" si="116"/>
        <v>Aug</v>
      </c>
      <c r="Z830">
        <f t="shared" si="117"/>
        <v>8</v>
      </c>
    </row>
    <row r="831" spans="1:26" ht="15.75" customHeight="1" x14ac:dyDescent="0.3">
      <c r="A831" s="2" t="s">
        <v>1934</v>
      </c>
      <c r="B831" s="2" t="s">
        <v>1935</v>
      </c>
      <c r="C831" s="2" t="s">
        <v>95</v>
      </c>
      <c r="D831" s="2" t="s">
        <v>19</v>
      </c>
      <c r="E831" s="2" t="s">
        <v>20</v>
      </c>
      <c r="F831" s="2">
        <v>13</v>
      </c>
      <c r="G831" s="2">
        <v>533.64</v>
      </c>
      <c r="H831" s="2">
        <v>6937.32</v>
      </c>
      <c r="I831" s="2">
        <v>4641.17</v>
      </c>
      <c r="J831" s="2">
        <v>2296.15</v>
      </c>
      <c r="K831" s="3">
        <v>45446</v>
      </c>
      <c r="L831" s="3">
        <v>45447</v>
      </c>
      <c r="M831" s="2" t="s">
        <v>26</v>
      </c>
      <c r="N831" s="2">
        <v>4</v>
      </c>
      <c r="O831" s="2" t="s">
        <v>767</v>
      </c>
      <c r="P831" s="25">
        <v>8.3000000000000007</v>
      </c>
      <c r="Q831" t="str">
        <f t="shared" si="109"/>
        <v>0830</v>
      </c>
      <c r="R831" t="str">
        <f>IF('RETAIL SALES DATA.'!H831&gt;AVERAGE('RETAIL SALES DATA.'!H831:H1830),"HIGHEST VALUE","LOWEST VALUE")</f>
        <v>LOWEST VALUE</v>
      </c>
      <c r="S831" t="str">
        <f t="shared" si="110"/>
        <v>Profit</v>
      </c>
      <c r="T831" t="str">
        <f t="shared" si="111"/>
        <v>Shawn Zimmerman</v>
      </c>
      <c r="U831" t="str">
        <f t="shared" si="112"/>
        <v>Printer</v>
      </c>
      <c r="V831">
        <f t="shared" si="113"/>
        <v>2024</v>
      </c>
      <c r="W831">
        <f t="shared" si="114"/>
        <v>6</v>
      </c>
      <c r="X831">
        <f t="shared" si="115"/>
        <v>3</v>
      </c>
      <c r="Y831" t="str">
        <f t="shared" si="116"/>
        <v>Jun</v>
      </c>
      <c r="Z831">
        <f t="shared" si="117"/>
        <v>1</v>
      </c>
    </row>
    <row r="832" spans="1:26" ht="15.75" customHeight="1" x14ac:dyDescent="0.3">
      <c r="A832" s="2" t="s">
        <v>1936</v>
      </c>
      <c r="B832" s="2" t="s">
        <v>1937</v>
      </c>
      <c r="C832" s="2" t="s">
        <v>139</v>
      </c>
      <c r="D832" s="2" t="s">
        <v>31</v>
      </c>
      <c r="E832" s="2" t="s">
        <v>20</v>
      </c>
      <c r="F832" s="2">
        <v>11</v>
      </c>
      <c r="G832" s="2">
        <v>1580.7</v>
      </c>
      <c r="H832" s="2">
        <v>17387.7</v>
      </c>
      <c r="I832" s="2">
        <v>11290.31</v>
      </c>
      <c r="J832" s="2">
        <v>6097.39</v>
      </c>
      <c r="K832" s="3">
        <v>46090</v>
      </c>
      <c r="L832" s="3">
        <v>46092</v>
      </c>
      <c r="M832" s="2" t="s">
        <v>21</v>
      </c>
      <c r="N832" s="2">
        <v>4</v>
      </c>
      <c r="O832" s="2" t="s">
        <v>604</v>
      </c>
      <c r="P832" s="25">
        <v>7.4</v>
      </c>
      <c r="Q832" t="str">
        <f t="shared" si="109"/>
        <v>0831</v>
      </c>
      <c r="R832" t="str">
        <f>IF('RETAIL SALES DATA.'!H832&gt;AVERAGE('RETAIL SALES DATA.'!H832:H1831),"HIGHEST VALUE","LOWEST VALUE")</f>
        <v>LOWEST VALUE</v>
      </c>
      <c r="S832" t="str">
        <f t="shared" si="110"/>
        <v>Profit</v>
      </c>
      <c r="T832" t="str">
        <f t="shared" si="111"/>
        <v>Ashley Harris</v>
      </c>
      <c r="U832" t="str">
        <f t="shared" si="112"/>
        <v>Sofa</v>
      </c>
      <c r="V832">
        <f t="shared" si="113"/>
        <v>2026</v>
      </c>
      <c r="W832">
        <f t="shared" si="114"/>
        <v>3</v>
      </c>
      <c r="X832">
        <f t="shared" si="115"/>
        <v>9</v>
      </c>
      <c r="Y832" t="str">
        <f t="shared" si="116"/>
        <v>Mar</v>
      </c>
      <c r="Z832">
        <f t="shared" si="117"/>
        <v>2</v>
      </c>
    </row>
    <row r="833" spans="1:26" ht="15.75" customHeight="1" x14ac:dyDescent="0.3">
      <c r="A833" s="2" t="s">
        <v>1938</v>
      </c>
      <c r="B833" s="2" t="s">
        <v>1939</v>
      </c>
      <c r="C833" s="2" t="s">
        <v>42</v>
      </c>
      <c r="D833" s="2" t="s">
        <v>43</v>
      </c>
      <c r="E833" s="2" t="s">
        <v>44</v>
      </c>
      <c r="F833" s="2">
        <v>5</v>
      </c>
      <c r="G833" s="2">
        <v>2481.67</v>
      </c>
      <c r="H833" s="2">
        <v>12408.35</v>
      </c>
      <c r="I833" s="2">
        <v>8045.41</v>
      </c>
      <c r="J833" s="2">
        <v>4362.9399999999996</v>
      </c>
      <c r="K833" s="3">
        <v>45505</v>
      </c>
      <c r="L833" s="3">
        <v>45507</v>
      </c>
      <c r="M833" s="2" t="s">
        <v>123</v>
      </c>
      <c r="N833" s="2">
        <v>5</v>
      </c>
      <c r="O833" s="2" t="s">
        <v>281</v>
      </c>
      <c r="P833" s="25">
        <v>8.1999999999999993</v>
      </c>
      <c r="Q833" t="str">
        <f t="shared" si="109"/>
        <v>0832</v>
      </c>
      <c r="R833" t="str">
        <f>IF('RETAIL SALES DATA.'!H833&gt;AVERAGE('RETAIL SALES DATA.'!H833:H1832),"HIGHEST VALUE","LOWEST VALUE")</f>
        <v>LOWEST VALUE</v>
      </c>
      <c r="S833" t="str">
        <f t="shared" si="110"/>
        <v>Profit</v>
      </c>
      <c r="T833" t="str">
        <f t="shared" si="111"/>
        <v>Amanda Gonzalez</v>
      </c>
      <c r="U833" t="str">
        <f t="shared" si="112"/>
        <v>Laptop</v>
      </c>
      <c r="V833">
        <f t="shared" si="113"/>
        <v>2024</v>
      </c>
      <c r="W833">
        <f t="shared" si="114"/>
        <v>8</v>
      </c>
      <c r="X833">
        <f t="shared" si="115"/>
        <v>1</v>
      </c>
      <c r="Y833" t="str">
        <f t="shared" si="116"/>
        <v>Aug</v>
      </c>
      <c r="Z833">
        <f t="shared" si="117"/>
        <v>2</v>
      </c>
    </row>
    <row r="834" spans="1:26" ht="15.75" customHeight="1" x14ac:dyDescent="0.3">
      <c r="A834" s="2" t="s">
        <v>1940</v>
      </c>
      <c r="B834" s="2" t="s">
        <v>1941</v>
      </c>
      <c r="C834" s="2" t="s">
        <v>30</v>
      </c>
      <c r="D834" s="2" t="s">
        <v>31</v>
      </c>
      <c r="E834" s="2" t="s">
        <v>44</v>
      </c>
      <c r="F834" s="2">
        <v>19</v>
      </c>
      <c r="G834" s="2">
        <v>3631.11</v>
      </c>
      <c r="H834" s="2">
        <v>68991.09</v>
      </c>
      <c r="I834" s="2">
        <v>49011.72</v>
      </c>
      <c r="J834" s="2">
        <v>19979.37</v>
      </c>
      <c r="K834" s="3">
        <v>45770</v>
      </c>
      <c r="L834" s="3">
        <v>45776</v>
      </c>
      <c r="M834" s="2" t="s">
        <v>50</v>
      </c>
      <c r="N834" s="2">
        <v>2</v>
      </c>
      <c r="O834" s="2" t="s">
        <v>509</v>
      </c>
      <c r="P834" s="25">
        <v>7.1</v>
      </c>
      <c r="Q834" t="str">
        <f t="shared" si="109"/>
        <v>0833</v>
      </c>
      <c r="R834" t="str">
        <f>IF('RETAIL SALES DATA.'!H834&gt;AVERAGE('RETAIL SALES DATA.'!H834:H1833),"HIGHEST VALUE","LOWEST VALUE")</f>
        <v>HIGHEST VALUE</v>
      </c>
      <c r="S834" t="str">
        <f t="shared" si="110"/>
        <v>Profit</v>
      </c>
      <c r="T834" t="str">
        <f t="shared" si="111"/>
        <v>James Odonnell</v>
      </c>
      <c r="U834" t="str">
        <f t="shared" si="112"/>
        <v>Desk</v>
      </c>
      <c r="V834">
        <f t="shared" si="113"/>
        <v>2025</v>
      </c>
      <c r="W834">
        <f t="shared" si="114"/>
        <v>4</v>
      </c>
      <c r="X834">
        <f t="shared" si="115"/>
        <v>23</v>
      </c>
      <c r="Y834" t="str">
        <f t="shared" si="116"/>
        <v>Apr</v>
      </c>
      <c r="Z834">
        <f t="shared" si="117"/>
        <v>6</v>
      </c>
    </row>
    <row r="835" spans="1:26" ht="15.75" customHeight="1" x14ac:dyDescent="0.3">
      <c r="A835" s="2" t="s">
        <v>1942</v>
      </c>
      <c r="B835" s="2" t="s">
        <v>1943</v>
      </c>
      <c r="C835" s="2" t="s">
        <v>42</v>
      </c>
      <c r="D835" s="2" t="s">
        <v>43</v>
      </c>
      <c r="E835" s="2" t="s">
        <v>44</v>
      </c>
      <c r="F835" s="2">
        <v>10</v>
      </c>
      <c r="G835" s="2">
        <v>4966.6400000000003</v>
      </c>
      <c r="H835" s="2">
        <v>49666.400000000001</v>
      </c>
      <c r="I835" s="2">
        <v>35346.620000000003</v>
      </c>
      <c r="J835" s="2">
        <v>14319.78</v>
      </c>
      <c r="K835" s="3">
        <v>45859</v>
      </c>
      <c r="L835" s="3">
        <v>45861</v>
      </c>
      <c r="M835" s="2" t="s">
        <v>123</v>
      </c>
      <c r="N835" s="2">
        <v>1</v>
      </c>
      <c r="O835" s="2" t="s">
        <v>741</v>
      </c>
      <c r="P835" s="25">
        <v>6.9</v>
      </c>
      <c r="Q835" t="str">
        <f t="shared" ref="Q835:Q898" si="118">RIGHT(A835,"4")</f>
        <v>0834</v>
      </c>
      <c r="R835" t="str">
        <f>IF('RETAIL SALES DATA.'!H835&gt;AVERAGE('RETAIL SALES DATA.'!H835:H1834),"HIGHEST VALUE","LOWEST VALUE")</f>
        <v>HIGHEST VALUE</v>
      </c>
      <c r="S835" t="str">
        <f t="shared" ref="S835:S861" si="119">IF(J835&gt;0,"Profit","Loss")</f>
        <v>Profit</v>
      </c>
      <c r="T835" t="str">
        <f t="shared" ref="T835:T898" si="120">PROPER(B835)</f>
        <v>Gail Hunt</v>
      </c>
      <c r="U835" t="str">
        <f t="shared" ref="U835:U898" si="121">PROPER(C835)</f>
        <v>Laptop</v>
      </c>
      <c r="V835">
        <f t="shared" ref="V835:V898" si="122">YEAR(K835)</f>
        <v>2025</v>
      </c>
      <c r="W835">
        <f t="shared" ref="W835:W898" si="123">MONTH(L835)</f>
        <v>7</v>
      </c>
      <c r="X835">
        <f t="shared" ref="X835:X898" si="124">DAY(K835)</f>
        <v>21</v>
      </c>
      <c r="Y835" t="str">
        <f t="shared" ref="Y835:Y898" si="125">TEXT(K835,"MMM")</f>
        <v>Jul</v>
      </c>
      <c r="Z835">
        <f t="shared" ref="Z835:Z898" si="126">L835-K835</f>
        <v>2</v>
      </c>
    </row>
    <row r="836" spans="1:26" ht="15.75" customHeight="1" x14ac:dyDescent="0.3">
      <c r="A836" s="2" t="s">
        <v>1944</v>
      </c>
      <c r="B836" s="2" t="s">
        <v>1945</v>
      </c>
      <c r="C836" s="2" t="s">
        <v>49</v>
      </c>
      <c r="D836" s="2" t="s">
        <v>43</v>
      </c>
      <c r="E836" s="2" t="s">
        <v>44</v>
      </c>
      <c r="F836" s="2">
        <v>13</v>
      </c>
      <c r="G836" s="2">
        <v>2544.84</v>
      </c>
      <c r="H836" s="2">
        <v>33082.92</v>
      </c>
      <c r="I836" s="2">
        <v>29381.95</v>
      </c>
      <c r="J836" s="2">
        <v>3700.97</v>
      </c>
      <c r="K836" s="3">
        <v>45584</v>
      </c>
      <c r="L836" s="3">
        <v>45587</v>
      </c>
      <c r="M836" s="2" t="s">
        <v>69</v>
      </c>
      <c r="N836" s="2">
        <v>2</v>
      </c>
      <c r="O836" s="2" t="s">
        <v>1390</v>
      </c>
      <c r="P836" s="25">
        <v>6.8</v>
      </c>
      <c r="Q836" t="str">
        <f t="shared" si="118"/>
        <v>0835</v>
      </c>
      <c r="R836" t="str">
        <f>IF('RETAIL SALES DATA.'!H836&gt;AVERAGE('RETAIL SALES DATA.'!H836:H1835),"HIGHEST VALUE","LOWEST VALUE")</f>
        <v>HIGHEST VALUE</v>
      </c>
      <c r="S836" t="str">
        <f t="shared" si="119"/>
        <v>Profit</v>
      </c>
      <c r="T836" t="str">
        <f t="shared" si="120"/>
        <v>Jessica Davis</v>
      </c>
      <c r="U836" t="str">
        <f t="shared" si="121"/>
        <v>Mouse</v>
      </c>
      <c r="V836">
        <f t="shared" si="122"/>
        <v>2024</v>
      </c>
      <c r="W836">
        <f t="shared" si="123"/>
        <v>10</v>
      </c>
      <c r="X836">
        <f t="shared" si="124"/>
        <v>19</v>
      </c>
      <c r="Y836" t="str">
        <f t="shared" si="125"/>
        <v>Oct</v>
      </c>
      <c r="Z836">
        <f t="shared" si="126"/>
        <v>3</v>
      </c>
    </row>
    <row r="837" spans="1:26" ht="15.75" customHeight="1" x14ac:dyDescent="0.3">
      <c r="A837" s="2" t="s">
        <v>1946</v>
      </c>
      <c r="B837" s="2" t="s">
        <v>1947</v>
      </c>
      <c r="C837" s="2" t="s">
        <v>49</v>
      </c>
      <c r="D837" s="2" t="s">
        <v>43</v>
      </c>
      <c r="E837" s="2" t="s">
        <v>32</v>
      </c>
      <c r="F837" s="2">
        <v>10</v>
      </c>
      <c r="G837" s="2">
        <v>3746.01</v>
      </c>
      <c r="H837" s="2">
        <v>37460.1</v>
      </c>
      <c r="I837" s="2">
        <v>30415.09</v>
      </c>
      <c r="J837" s="2">
        <v>7045.01</v>
      </c>
      <c r="K837" s="3">
        <v>45753</v>
      </c>
      <c r="L837" s="3">
        <v>45759</v>
      </c>
      <c r="M837" s="2" t="s">
        <v>26</v>
      </c>
      <c r="N837" s="2">
        <v>1</v>
      </c>
      <c r="O837" s="2" t="s">
        <v>541</v>
      </c>
      <c r="P837" s="25">
        <v>6.5</v>
      </c>
      <c r="Q837" t="str">
        <f t="shared" si="118"/>
        <v>0836</v>
      </c>
      <c r="R837" t="str">
        <f>IF('RETAIL SALES DATA.'!H837&gt;AVERAGE('RETAIL SALES DATA.'!H837:H1836),"HIGHEST VALUE","LOWEST VALUE")</f>
        <v>HIGHEST VALUE</v>
      </c>
      <c r="S837" t="str">
        <f t="shared" si="119"/>
        <v>Profit</v>
      </c>
      <c r="T837" t="str">
        <f t="shared" si="120"/>
        <v>Jose Curry</v>
      </c>
      <c r="U837" t="str">
        <f t="shared" si="121"/>
        <v>Mouse</v>
      </c>
      <c r="V837">
        <f t="shared" si="122"/>
        <v>2025</v>
      </c>
      <c r="W837">
        <f t="shared" si="123"/>
        <v>4</v>
      </c>
      <c r="X837">
        <f t="shared" si="124"/>
        <v>6</v>
      </c>
      <c r="Y837" t="str">
        <f t="shared" si="125"/>
        <v>Apr</v>
      </c>
      <c r="Z837">
        <f t="shared" si="126"/>
        <v>6</v>
      </c>
    </row>
    <row r="838" spans="1:26" ht="15.75" customHeight="1" x14ac:dyDescent="0.3">
      <c r="A838" s="2" t="s">
        <v>1948</v>
      </c>
      <c r="B838" s="2" t="s">
        <v>1949</v>
      </c>
      <c r="C838" s="2" t="s">
        <v>62</v>
      </c>
      <c r="D838" s="2" t="s">
        <v>31</v>
      </c>
      <c r="E838" s="2" t="s">
        <v>32</v>
      </c>
      <c r="F838" s="2">
        <v>8</v>
      </c>
      <c r="G838" s="2">
        <v>3937.87</v>
      </c>
      <c r="H838" s="2">
        <v>31502.959999999999</v>
      </c>
      <c r="I838" s="2">
        <v>26916.65</v>
      </c>
      <c r="J838" s="2">
        <v>4586.3100000000004</v>
      </c>
      <c r="K838" s="3">
        <v>45801</v>
      </c>
      <c r="L838" s="3">
        <v>45802</v>
      </c>
      <c r="M838" s="2" t="s">
        <v>50</v>
      </c>
      <c r="N838" s="2">
        <v>1</v>
      </c>
      <c r="O838" s="2" t="s">
        <v>446</v>
      </c>
      <c r="P838" s="25">
        <v>9</v>
      </c>
      <c r="Q838" t="str">
        <f t="shared" si="118"/>
        <v>0837</v>
      </c>
      <c r="R838" t="str">
        <f>IF('RETAIL SALES DATA.'!H838&gt;AVERAGE('RETAIL SALES DATA.'!H838:H1837),"HIGHEST VALUE","LOWEST VALUE")</f>
        <v>HIGHEST VALUE</v>
      </c>
      <c r="S838" t="str">
        <f t="shared" si="119"/>
        <v>Profit</v>
      </c>
      <c r="T838" t="str">
        <f t="shared" si="120"/>
        <v>Lorraine Irwin</v>
      </c>
      <c r="U838" t="str">
        <f t="shared" si="121"/>
        <v>Table</v>
      </c>
      <c r="V838">
        <f t="shared" si="122"/>
        <v>2025</v>
      </c>
      <c r="W838">
        <f t="shared" si="123"/>
        <v>5</v>
      </c>
      <c r="X838">
        <f t="shared" si="124"/>
        <v>24</v>
      </c>
      <c r="Y838" t="str">
        <f t="shared" si="125"/>
        <v>May</v>
      </c>
      <c r="Z838">
        <f t="shared" si="126"/>
        <v>1</v>
      </c>
    </row>
    <row r="839" spans="1:26" ht="15.75" customHeight="1" x14ac:dyDescent="0.3">
      <c r="A839" s="2" t="s">
        <v>1950</v>
      </c>
      <c r="B839" s="2" t="s">
        <v>1951</v>
      </c>
      <c r="C839" s="2" t="s">
        <v>219</v>
      </c>
      <c r="D839" s="2" t="s">
        <v>43</v>
      </c>
      <c r="E839" s="2" t="s">
        <v>25</v>
      </c>
      <c r="F839" s="2">
        <v>14</v>
      </c>
      <c r="G839" s="2">
        <v>3453.16</v>
      </c>
      <c r="H839" s="2">
        <v>48344.24</v>
      </c>
      <c r="I839" s="2">
        <v>26658.35</v>
      </c>
      <c r="J839" s="2">
        <v>21685.89</v>
      </c>
      <c r="K839" s="3">
        <v>45867</v>
      </c>
      <c r="L839" s="3">
        <v>45872</v>
      </c>
      <c r="M839" s="2" t="s">
        <v>45</v>
      </c>
      <c r="N839" s="2">
        <v>2</v>
      </c>
      <c r="O839" s="2" t="s">
        <v>429</v>
      </c>
      <c r="P839" s="25">
        <v>8.8000000000000007</v>
      </c>
      <c r="Q839" t="str">
        <f t="shared" si="118"/>
        <v>0838</v>
      </c>
      <c r="R839" t="str">
        <f>IF('RETAIL SALES DATA.'!H839&gt;AVERAGE('RETAIL SALES DATA.'!H839:H1838),"HIGHEST VALUE","LOWEST VALUE")</f>
        <v>HIGHEST VALUE</v>
      </c>
      <c r="S839" t="str">
        <f t="shared" si="119"/>
        <v>Profit</v>
      </c>
      <c r="T839" t="str">
        <f t="shared" si="120"/>
        <v>Tim Meyer</v>
      </c>
      <c r="U839" t="str">
        <f t="shared" si="121"/>
        <v>Smartphone</v>
      </c>
      <c r="V839">
        <f t="shared" si="122"/>
        <v>2025</v>
      </c>
      <c r="W839">
        <f t="shared" si="123"/>
        <v>8</v>
      </c>
      <c r="X839">
        <f t="shared" si="124"/>
        <v>29</v>
      </c>
      <c r="Y839" t="str">
        <f t="shared" si="125"/>
        <v>Jul</v>
      </c>
      <c r="Z839">
        <f t="shared" si="126"/>
        <v>5</v>
      </c>
    </row>
    <row r="840" spans="1:26" ht="15.75" customHeight="1" x14ac:dyDescent="0.3">
      <c r="A840" s="2" t="s">
        <v>1952</v>
      </c>
      <c r="B840" s="2" t="s">
        <v>1953</v>
      </c>
      <c r="C840" s="2" t="s">
        <v>57</v>
      </c>
      <c r="D840" s="2" t="s">
        <v>19</v>
      </c>
      <c r="E840" s="2" t="s">
        <v>25</v>
      </c>
      <c r="F840" s="2">
        <v>18</v>
      </c>
      <c r="G840" s="2">
        <v>2514.7600000000002</v>
      </c>
      <c r="H840" s="2">
        <v>45265.68</v>
      </c>
      <c r="I840" s="2">
        <v>33636.620000000003</v>
      </c>
      <c r="J840" s="2">
        <v>11629.06</v>
      </c>
      <c r="K840" s="3">
        <v>46065</v>
      </c>
      <c r="L840" s="3">
        <v>46075</v>
      </c>
      <c r="M840" s="2" t="s">
        <v>45</v>
      </c>
      <c r="N840" s="2">
        <v>4</v>
      </c>
      <c r="O840" s="2" t="s">
        <v>294</v>
      </c>
      <c r="P840" s="25">
        <v>7.7</v>
      </c>
      <c r="Q840" t="str">
        <f t="shared" si="118"/>
        <v>0839</v>
      </c>
      <c r="R840" t="str">
        <f>IF('RETAIL SALES DATA.'!H840&gt;AVERAGE('RETAIL SALES DATA.'!H840:H1839),"HIGHEST VALUE","LOWEST VALUE")</f>
        <v>HIGHEST VALUE</v>
      </c>
      <c r="S840" t="str">
        <f t="shared" si="119"/>
        <v>Profit</v>
      </c>
      <c r="T840" t="str">
        <f t="shared" si="120"/>
        <v>Tonya Erickson</v>
      </c>
      <c r="U840" t="str">
        <f t="shared" si="121"/>
        <v>Notebook</v>
      </c>
      <c r="V840">
        <f t="shared" si="122"/>
        <v>2026</v>
      </c>
      <c r="W840">
        <f t="shared" si="123"/>
        <v>2</v>
      </c>
      <c r="X840">
        <f t="shared" si="124"/>
        <v>12</v>
      </c>
      <c r="Y840" t="str">
        <f t="shared" si="125"/>
        <v>Feb</v>
      </c>
      <c r="Z840">
        <f t="shared" si="126"/>
        <v>10</v>
      </c>
    </row>
    <row r="841" spans="1:26" ht="15.75" customHeight="1" x14ac:dyDescent="0.3">
      <c r="A841" s="2" t="s">
        <v>1954</v>
      </c>
      <c r="B841" s="2" t="s">
        <v>1955</v>
      </c>
      <c r="C841" s="2" t="s">
        <v>49</v>
      </c>
      <c r="D841" s="2" t="s">
        <v>43</v>
      </c>
      <c r="E841" s="2" t="s">
        <v>32</v>
      </c>
      <c r="F841" s="2">
        <v>16</v>
      </c>
      <c r="G841" s="2">
        <v>3625.82</v>
      </c>
      <c r="H841" s="2">
        <v>58013.120000000003</v>
      </c>
      <c r="I841" s="2">
        <v>33474.870000000003</v>
      </c>
      <c r="J841" s="2">
        <v>24538.25</v>
      </c>
      <c r="K841" s="3">
        <v>45434</v>
      </c>
      <c r="L841" s="3">
        <v>45435</v>
      </c>
      <c r="M841" s="2" t="s">
        <v>69</v>
      </c>
      <c r="N841" s="2">
        <v>5</v>
      </c>
      <c r="O841" s="2" t="s">
        <v>692</v>
      </c>
      <c r="P841" s="25">
        <v>6.4</v>
      </c>
      <c r="Q841" t="str">
        <f t="shared" si="118"/>
        <v>0840</v>
      </c>
      <c r="R841" t="str">
        <f>IF('RETAIL SALES DATA.'!H841&gt;AVERAGE('RETAIL SALES DATA.'!H841:H1840),"HIGHEST VALUE","LOWEST VALUE")</f>
        <v>HIGHEST VALUE</v>
      </c>
      <c r="S841" t="str">
        <f t="shared" si="119"/>
        <v>Profit</v>
      </c>
      <c r="T841" t="str">
        <f t="shared" si="120"/>
        <v>Jessica Wheeler</v>
      </c>
      <c r="U841" t="str">
        <f t="shared" si="121"/>
        <v>Mouse</v>
      </c>
      <c r="V841">
        <f t="shared" si="122"/>
        <v>2024</v>
      </c>
      <c r="W841">
        <f t="shared" si="123"/>
        <v>5</v>
      </c>
      <c r="X841">
        <f t="shared" si="124"/>
        <v>22</v>
      </c>
      <c r="Y841" t="str">
        <f t="shared" si="125"/>
        <v>May</v>
      </c>
      <c r="Z841">
        <f t="shared" si="126"/>
        <v>1</v>
      </c>
    </row>
    <row r="842" spans="1:26" ht="15.75" customHeight="1" x14ac:dyDescent="0.3">
      <c r="A842" s="2" t="s">
        <v>1956</v>
      </c>
      <c r="B842" s="2" t="s">
        <v>1957</v>
      </c>
      <c r="C842" s="2" t="s">
        <v>144</v>
      </c>
      <c r="D842" s="2" t="s">
        <v>19</v>
      </c>
      <c r="E842" s="2" t="s">
        <v>20</v>
      </c>
      <c r="F842" s="2">
        <v>10</v>
      </c>
      <c r="G842" s="2">
        <v>797.9</v>
      </c>
      <c r="H842" s="2">
        <v>7979</v>
      </c>
      <c r="I842" s="2">
        <v>5069.46</v>
      </c>
      <c r="J842" s="2">
        <v>2909.54</v>
      </c>
      <c r="K842" s="3">
        <v>45681</v>
      </c>
      <c r="L842" s="3">
        <v>45691</v>
      </c>
      <c r="M842" s="2" t="s">
        <v>69</v>
      </c>
      <c r="N842" s="2">
        <v>4</v>
      </c>
      <c r="O842" s="2" t="s">
        <v>386</v>
      </c>
      <c r="P842" s="25">
        <v>7.9</v>
      </c>
      <c r="Q842" t="str">
        <f t="shared" si="118"/>
        <v>0841</v>
      </c>
      <c r="R842" t="str">
        <f>IF('RETAIL SALES DATA.'!H842&gt;AVERAGE('RETAIL SALES DATA.'!H842:H1841),"HIGHEST VALUE","LOWEST VALUE")</f>
        <v>LOWEST VALUE</v>
      </c>
      <c r="S842" t="str">
        <f t="shared" si="119"/>
        <v>Profit</v>
      </c>
      <c r="T842" t="str">
        <f t="shared" si="120"/>
        <v>Katherine Woods</v>
      </c>
      <c r="U842" t="str">
        <f t="shared" si="121"/>
        <v>File</v>
      </c>
      <c r="V842">
        <f t="shared" si="122"/>
        <v>2025</v>
      </c>
      <c r="W842">
        <f t="shared" si="123"/>
        <v>2</v>
      </c>
      <c r="X842">
        <f t="shared" si="124"/>
        <v>24</v>
      </c>
      <c r="Y842" t="str">
        <f t="shared" si="125"/>
        <v>Jan</v>
      </c>
      <c r="Z842">
        <f t="shared" si="126"/>
        <v>10</v>
      </c>
    </row>
    <row r="843" spans="1:26" ht="15.75" customHeight="1" x14ac:dyDescent="0.3">
      <c r="A843" s="2" t="s">
        <v>1958</v>
      </c>
      <c r="B843" s="2" t="s">
        <v>1959</v>
      </c>
      <c r="C843" s="2" t="s">
        <v>139</v>
      </c>
      <c r="D843" s="2" t="s">
        <v>31</v>
      </c>
      <c r="E843" s="2" t="s">
        <v>25</v>
      </c>
      <c r="F843" s="2">
        <v>1</v>
      </c>
      <c r="G843" s="2">
        <v>2697.69</v>
      </c>
      <c r="H843" s="2">
        <v>2697.69</v>
      </c>
      <c r="I843" s="2">
        <v>2294.9</v>
      </c>
      <c r="J843" s="2">
        <v>402.79</v>
      </c>
      <c r="K843" s="3">
        <v>45717</v>
      </c>
      <c r="L843" s="3">
        <v>45726</v>
      </c>
      <c r="M843" s="2" t="s">
        <v>69</v>
      </c>
      <c r="N843" s="2">
        <v>4</v>
      </c>
      <c r="O843" s="2" t="s">
        <v>1960</v>
      </c>
      <c r="P843" s="25">
        <v>6.6</v>
      </c>
      <c r="Q843" t="str">
        <f t="shared" si="118"/>
        <v>0842</v>
      </c>
      <c r="R843" t="str">
        <f>IF('RETAIL SALES DATA.'!H843&gt;AVERAGE('RETAIL SALES DATA.'!H843:H1842),"HIGHEST VALUE","LOWEST VALUE")</f>
        <v>LOWEST VALUE</v>
      </c>
      <c r="S843" t="str">
        <f t="shared" si="119"/>
        <v>Profit</v>
      </c>
      <c r="T843" t="str">
        <f t="shared" si="120"/>
        <v>Michelle Mcbride</v>
      </c>
      <c r="U843" t="str">
        <f t="shared" si="121"/>
        <v>Sofa</v>
      </c>
      <c r="V843">
        <f t="shared" si="122"/>
        <v>2025</v>
      </c>
      <c r="W843">
        <f t="shared" si="123"/>
        <v>3</v>
      </c>
      <c r="X843">
        <f t="shared" si="124"/>
        <v>1</v>
      </c>
      <c r="Y843" t="str">
        <f t="shared" si="125"/>
        <v>Mar</v>
      </c>
      <c r="Z843">
        <f t="shared" si="126"/>
        <v>9</v>
      </c>
    </row>
    <row r="844" spans="1:26" ht="15.75" customHeight="1" x14ac:dyDescent="0.3">
      <c r="A844" s="2" t="s">
        <v>1961</v>
      </c>
      <c r="B844" s="2" t="s">
        <v>1962</v>
      </c>
      <c r="C844" s="2" t="s">
        <v>62</v>
      </c>
      <c r="D844" s="2" t="s">
        <v>31</v>
      </c>
      <c r="E844" s="2" t="s">
        <v>25</v>
      </c>
      <c r="F844" s="2">
        <v>6</v>
      </c>
      <c r="G844" s="2">
        <v>2065.59</v>
      </c>
      <c r="H844" s="2">
        <v>12393.54</v>
      </c>
      <c r="I844" s="2">
        <v>9200.69</v>
      </c>
      <c r="J844" s="2">
        <v>3192.85</v>
      </c>
      <c r="K844" s="3">
        <v>45988</v>
      </c>
      <c r="L844" s="3">
        <v>45997</v>
      </c>
      <c r="M844" s="2" t="s">
        <v>45</v>
      </c>
      <c r="N844" s="2">
        <v>2</v>
      </c>
      <c r="O844" s="2" t="s">
        <v>105</v>
      </c>
      <c r="P844" s="25">
        <v>6.9</v>
      </c>
      <c r="Q844" t="str">
        <f t="shared" si="118"/>
        <v>0843</v>
      </c>
      <c r="R844" t="str">
        <f>IF('RETAIL SALES DATA.'!H844&gt;AVERAGE('RETAIL SALES DATA.'!H844:H1843),"HIGHEST VALUE","LOWEST VALUE")</f>
        <v>LOWEST VALUE</v>
      </c>
      <c r="S844" t="str">
        <f t="shared" si="119"/>
        <v>Profit</v>
      </c>
      <c r="T844" t="str">
        <f t="shared" si="120"/>
        <v>Lori Rodriguez</v>
      </c>
      <c r="U844" t="str">
        <f t="shared" si="121"/>
        <v>Table</v>
      </c>
      <c r="V844">
        <f t="shared" si="122"/>
        <v>2025</v>
      </c>
      <c r="W844">
        <f t="shared" si="123"/>
        <v>12</v>
      </c>
      <c r="X844">
        <f t="shared" si="124"/>
        <v>27</v>
      </c>
      <c r="Y844" t="str">
        <f t="shared" si="125"/>
        <v>Nov</v>
      </c>
      <c r="Z844">
        <f t="shared" si="126"/>
        <v>9</v>
      </c>
    </row>
    <row r="845" spans="1:26" ht="15.75" customHeight="1" x14ac:dyDescent="0.3">
      <c r="A845" s="2" t="s">
        <v>1963</v>
      </c>
      <c r="B845" s="2" t="s">
        <v>1964</v>
      </c>
      <c r="C845" s="2" t="s">
        <v>62</v>
      </c>
      <c r="D845" s="2" t="s">
        <v>31</v>
      </c>
      <c r="E845" s="2" t="s">
        <v>44</v>
      </c>
      <c r="F845" s="2">
        <v>20</v>
      </c>
      <c r="G845" s="2">
        <v>2548.46</v>
      </c>
      <c r="H845" s="2">
        <v>50969.2</v>
      </c>
      <c r="I845" s="2">
        <v>28584.42</v>
      </c>
      <c r="J845" s="2">
        <v>22384.78</v>
      </c>
      <c r="K845" s="3">
        <v>45594</v>
      </c>
      <c r="L845" s="3">
        <v>45597</v>
      </c>
      <c r="M845" s="2" t="s">
        <v>123</v>
      </c>
      <c r="N845" s="2">
        <v>3</v>
      </c>
      <c r="O845" s="2" t="s">
        <v>460</v>
      </c>
      <c r="P845" s="25">
        <v>9.4</v>
      </c>
      <c r="Q845" t="str">
        <f t="shared" si="118"/>
        <v>0844</v>
      </c>
      <c r="R845" t="str">
        <f>IF('RETAIL SALES DATA.'!H845&gt;AVERAGE('RETAIL SALES DATA.'!H845:H1844),"HIGHEST VALUE","LOWEST VALUE")</f>
        <v>HIGHEST VALUE</v>
      </c>
      <c r="S845" t="str">
        <f t="shared" si="119"/>
        <v>Profit</v>
      </c>
      <c r="T845" t="str">
        <f t="shared" si="120"/>
        <v>Ellen Palmer</v>
      </c>
      <c r="U845" t="str">
        <f t="shared" si="121"/>
        <v>Table</v>
      </c>
      <c r="V845">
        <f t="shared" si="122"/>
        <v>2024</v>
      </c>
      <c r="W845">
        <f t="shared" si="123"/>
        <v>11</v>
      </c>
      <c r="X845">
        <f t="shared" si="124"/>
        <v>29</v>
      </c>
      <c r="Y845" t="str">
        <f t="shared" si="125"/>
        <v>Oct</v>
      </c>
      <c r="Z845">
        <f t="shared" si="126"/>
        <v>3</v>
      </c>
    </row>
    <row r="846" spans="1:26" ht="15.75" customHeight="1" x14ac:dyDescent="0.3">
      <c r="A846" s="2" t="s">
        <v>1965</v>
      </c>
      <c r="B846" s="2" t="s">
        <v>1966</v>
      </c>
      <c r="C846" s="2" t="s">
        <v>219</v>
      </c>
      <c r="D846" s="2" t="s">
        <v>43</v>
      </c>
      <c r="E846" s="2" t="s">
        <v>32</v>
      </c>
      <c r="F846" s="2">
        <v>6</v>
      </c>
      <c r="G846" s="2">
        <v>626.45000000000005</v>
      </c>
      <c r="H846" s="2">
        <v>3758.7</v>
      </c>
      <c r="I846" s="2">
        <v>2344.9499999999998</v>
      </c>
      <c r="J846" s="2">
        <v>1413.75</v>
      </c>
      <c r="K846" s="3">
        <v>45639</v>
      </c>
      <c r="L846" s="3">
        <v>45649</v>
      </c>
      <c r="M846" s="2" t="s">
        <v>123</v>
      </c>
      <c r="N846" s="2">
        <v>4</v>
      </c>
      <c r="O846" s="2" t="s">
        <v>127</v>
      </c>
      <c r="P846" s="25">
        <v>9.6999999999999993</v>
      </c>
      <c r="Q846" t="str">
        <f t="shared" si="118"/>
        <v>0845</v>
      </c>
      <c r="R846" t="str">
        <f>IF('RETAIL SALES DATA.'!H846&gt;AVERAGE('RETAIL SALES DATA.'!H846:H1845),"HIGHEST VALUE","LOWEST VALUE")</f>
        <v>LOWEST VALUE</v>
      </c>
      <c r="S846" t="str">
        <f t="shared" si="119"/>
        <v>Profit</v>
      </c>
      <c r="T846" t="str">
        <f t="shared" si="120"/>
        <v>Diane Tran</v>
      </c>
      <c r="U846" t="str">
        <f t="shared" si="121"/>
        <v>Smartphone</v>
      </c>
      <c r="V846">
        <f t="shared" si="122"/>
        <v>2024</v>
      </c>
      <c r="W846">
        <f t="shared" si="123"/>
        <v>12</v>
      </c>
      <c r="X846">
        <f t="shared" si="124"/>
        <v>13</v>
      </c>
      <c r="Y846" t="str">
        <f t="shared" si="125"/>
        <v>Dec</v>
      </c>
      <c r="Z846">
        <f t="shared" si="126"/>
        <v>10</v>
      </c>
    </row>
    <row r="847" spans="1:26" ht="15.75" customHeight="1" x14ac:dyDescent="0.3">
      <c r="A847" s="2" t="s">
        <v>1967</v>
      </c>
      <c r="B847" s="2" t="s">
        <v>1968</v>
      </c>
      <c r="C847" s="2" t="s">
        <v>72</v>
      </c>
      <c r="D847" s="2" t="s">
        <v>31</v>
      </c>
      <c r="E847" s="2" t="s">
        <v>20</v>
      </c>
      <c r="F847" s="2">
        <v>15</v>
      </c>
      <c r="G847" s="2">
        <v>404.06</v>
      </c>
      <c r="H847" s="2">
        <v>6060.9</v>
      </c>
      <c r="I847" s="2">
        <v>4369.05</v>
      </c>
      <c r="J847" s="2">
        <v>1691.85</v>
      </c>
      <c r="K847" s="3">
        <v>45667</v>
      </c>
      <c r="L847" s="3">
        <v>45668</v>
      </c>
      <c r="M847" s="2" t="s">
        <v>26</v>
      </c>
      <c r="N847" s="2">
        <v>3</v>
      </c>
      <c r="O847" s="2" t="s">
        <v>1067</v>
      </c>
      <c r="P847" s="25">
        <v>7.1</v>
      </c>
      <c r="Q847" t="str">
        <f t="shared" si="118"/>
        <v>0846</v>
      </c>
      <c r="R847" t="str">
        <f>IF('RETAIL SALES DATA.'!H847&gt;AVERAGE('RETAIL SALES DATA.'!H847:H1846),"HIGHEST VALUE","LOWEST VALUE")</f>
        <v>LOWEST VALUE</v>
      </c>
      <c r="S847" t="str">
        <f t="shared" si="119"/>
        <v>Profit</v>
      </c>
      <c r="T847" t="str">
        <f t="shared" si="120"/>
        <v>Scott Morgan</v>
      </c>
      <c r="U847" t="str">
        <f t="shared" si="121"/>
        <v>Chair</v>
      </c>
      <c r="V847">
        <f t="shared" si="122"/>
        <v>2025</v>
      </c>
      <c r="W847">
        <f t="shared" si="123"/>
        <v>1</v>
      </c>
      <c r="X847">
        <f t="shared" si="124"/>
        <v>10</v>
      </c>
      <c r="Y847" t="str">
        <f t="shared" si="125"/>
        <v>Jan</v>
      </c>
      <c r="Z847">
        <f t="shared" si="126"/>
        <v>1</v>
      </c>
    </row>
    <row r="848" spans="1:26" ht="15.75" customHeight="1" x14ac:dyDescent="0.3">
      <c r="A848" s="2" t="s">
        <v>1969</v>
      </c>
      <c r="B848" s="2" t="s">
        <v>1970</v>
      </c>
      <c r="C848" s="2" t="s">
        <v>49</v>
      </c>
      <c r="D848" s="2" t="s">
        <v>43</v>
      </c>
      <c r="E848" s="2" t="s">
        <v>32</v>
      </c>
      <c r="F848" s="2">
        <v>8</v>
      </c>
      <c r="G848" s="2">
        <v>3636.03</v>
      </c>
      <c r="H848" s="2">
        <v>29088.240000000002</v>
      </c>
      <c r="I848" s="2">
        <v>18005.98</v>
      </c>
      <c r="J848" s="2">
        <v>11082.26</v>
      </c>
      <c r="K848" s="3">
        <v>45955</v>
      </c>
      <c r="L848" s="3">
        <v>45960</v>
      </c>
      <c r="M848" s="2" t="s">
        <v>21</v>
      </c>
      <c r="N848" s="2">
        <v>5</v>
      </c>
      <c r="O848" s="2" t="s">
        <v>148</v>
      </c>
      <c r="P848" s="25">
        <v>8.1999999999999993</v>
      </c>
      <c r="Q848" t="str">
        <f t="shared" si="118"/>
        <v>0847</v>
      </c>
      <c r="R848" t="str">
        <f>IF('RETAIL SALES DATA.'!H848&gt;AVERAGE('RETAIL SALES DATA.'!H848:H1847),"HIGHEST VALUE","LOWEST VALUE")</f>
        <v>HIGHEST VALUE</v>
      </c>
      <c r="S848" t="str">
        <f t="shared" si="119"/>
        <v>Profit</v>
      </c>
      <c r="T848" t="str">
        <f t="shared" si="120"/>
        <v>Matthew Rivas</v>
      </c>
      <c r="U848" t="str">
        <f t="shared" si="121"/>
        <v>Mouse</v>
      </c>
      <c r="V848">
        <f t="shared" si="122"/>
        <v>2025</v>
      </c>
      <c r="W848">
        <f t="shared" si="123"/>
        <v>10</v>
      </c>
      <c r="X848">
        <f t="shared" si="124"/>
        <v>25</v>
      </c>
      <c r="Y848" t="str">
        <f t="shared" si="125"/>
        <v>Oct</v>
      </c>
      <c r="Z848">
        <f t="shared" si="126"/>
        <v>5</v>
      </c>
    </row>
    <row r="849" spans="1:26" ht="15.75" customHeight="1" x14ac:dyDescent="0.3">
      <c r="A849" s="2" t="s">
        <v>1971</v>
      </c>
      <c r="B849" s="2" t="s">
        <v>1972</v>
      </c>
      <c r="C849" s="2" t="s">
        <v>49</v>
      </c>
      <c r="D849" s="2" t="s">
        <v>43</v>
      </c>
      <c r="E849" s="2" t="s">
        <v>32</v>
      </c>
      <c r="F849" s="2">
        <v>17</v>
      </c>
      <c r="G849" s="2">
        <v>2344.79</v>
      </c>
      <c r="H849" s="2">
        <v>39861.43</v>
      </c>
      <c r="I849" s="2">
        <v>28466.71</v>
      </c>
      <c r="J849" s="2">
        <v>11394.72</v>
      </c>
      <c r="K849" s="3">
        <v>45653</v>
      </c>
      <c r="L849" s="3">
        <v>45662</v>
      </c>
      <c r="M849" s="2" t="s">
        <v>50</v>
      </c>
      <c r="N849" s="2">
        <v>3</v>
      </c>
      <c r="O849" s="2" t="s">
        <v>359</v>
      </c>
      <c r="P849" s="25">
        <v>7.7</v>
      </c>
      <c r="Q849" t="str">
        <f t="shared" si="118"/>
        <v>0848</v>
      </c>
      <c r="R849" t="str">
        <f>IF('RETAIL SALES DATA.'!H849&gt;AVERAGE('RETAIL SALES DATA.'!H849:H1848),"HIGHEST VALUE","LOWEST VALUE")</f>
        <v>HIGHEST VALUE</v>
      </c>
      <c r="S849" t="str">
        <f t="shared" si="119"/>
        <v>Profit</v>
      </c>
      <c r="T849" t="str">
        <f t="shared" si="120"/>
        <v>Christina Davidson</v>
      </c>
      <c r="U849" t="str">
        <f t="shared" si="121"/>
        <v>Mouse</v>
      </c>
      <c r="V849">
        <f t="shared" si="122"/>
        <v>2024</v>
      </c>
      <c r="W849">
        <f t="shared" si="123"/>
        <v>1</v>
      </c>
      <c r="X849">
        <f t="shared" si="124"/>
        <v>27</v>
      </c>
      <c r="Y849" t="str">
        <f t="shared" si="125"/>
        <v>Dec</v>
      </c>
      <c r="Z849">
        <f t="shared" si="126"/>
        <v>9</v>
      </c>
    </row>
    <row r="850" spans="1:26" ht="15.75" customHeight="1" x14ac:dyDescent="0.3">
      <c r="A850" s="2" t="s">
        <v>1973</v>
      </c>
      <c r="B850" s="2" t="s">
        <v>1974</v>
      </c>
      <c r="C850" s="2" t="s">
        <v>195</v>
      </c>
      <c r="D850" s="2" t="s">
        <v>43</v>
      </c>
      <c r="E850" s="2" t="s">
        <v>25</v>
      </c>
      <c r="F850" s="2">
        <v>5</v>
      </c>
      <c r="G850" s="2">
        <v>4494.59</v>
      </c>
      <c r="H850" s="2">
        <v>22472.95</v>
      </c>
      <c r="I850" s="2">
        <v>17844.400000000001</v>
      </c>
      <c r="J850" s="2">
        <v>4628.55</v>
      </c>
      <c r="K850" s="3">
        <v>45991</v>
      </c>
      <c r="L850" s="3">
        <v>45999</v>
      </c>
      <c r="M850" s="2" t="s">
        <v>123</v>
      </c>
      <c r="N850" s="2">
        <v>1</v>
      </c>
      <c r="O850" s="2" t="s">
        <v>294</v>
      </c>
      <c r="P850" s="25">
        <v>6.7</v>
      </c>
      <c r="Q850" t="str">
        <f t="shared" si="118"/>
        <v>0849</v>
      </c>
      <c r="R850" t="str">
        <f>IF('RETAIL SALES DATA.'!H850&gt;AVERAGE('RETAIL SALES DATA.'!H850:H1849),"HIGHEST VALUE","LOWEST VALUE")</f>
        <v>LOWEST VALUE</v>
      </c>
      <c r="S850" t="str">
        <f t="shared" si="119"/>
        <v>Profit</v>
      </c>
      <c r="T850" t="str">
        <f t="shared" si="120"/>
        <v>Carl Jackson</v>
      </c>
      <c r="U850" t="str">
        <f t="shared" si="121"/>
        <v>Monitor</v>
      </c>
      <c r="V850">
        <f t="shared" si="122"/>
        <v>2025</v>
      </c>
      <c r="W850">
        <f t="shared" si="123"/>
        <v>12</v>
      </c>
      <c r="X850">
        <f t="shared" si="124"/>
        <v>30</v>
      </c>
      <c r="Y850" t="str">
        <f t="shared" si="125"/>
        <v>Nov</v>
      </c>
      <c r="Z850">
        <f t="shared" si="126"/>
        <v>8</v>
      </c>
    </row>
    <row r="851" spans="1:26" ht="15.75" customHeight="1" x14ac:dyDescent="0.3">
      <c r="A851" s="2" t="s">
        <v>1975</v>
      </c>
      <c r="B851" s="2" t="s">
        <v>1976</v>
      </c>
      <c r="C851" s="2" t="s">
        <v>195</v>
      </c>
      <c r="D851" s="2" t="s">
        <v>43</v>
      </c>
      <c r="E851" s="2" t="s">
        <v>32</v>
      </c>
      <c r="F851" s="2">
        <v>8</v>
      </c>
      <c r="G851" s="2">
        <v>822.36</v>
      </c>
      <c r="H851" s="2">
        <v>6578.88</v>
      </c>
      <c r="I851" s="2">
        <v>3902.52</v>
      </c>
      <c r="J851" s="2">
        <v>2676.36</v>
      </c>
      <c r="K851" s="3">
        <v>46154</v>
      </c>
      <c r="L851" s="3">
        <v>46162</v>
      </c>
      <c r="M851" s="2" t="s">
        <v>181</v>
      </c>
      <c r="N851" s="2">
        <v>2</v>
      </c>
      <c r="O851" s="2" t="s">
        <v>391</v>
      </c>
      <c r="P851" s="25">
        <v>7.5</v>
      </c>
      <c r="Q851" t="str">
        <f t="shared" si="118"/>
        <v>0850</v>
      </c>
      <c r="R851" t="str">
        <f>IF('RETAIL SALES DATA.'!H851&gt;AVERAGE('RETAIL SALES DATA.'!H851:H1850),"HIGHEST VALUE","LOWEST VALUE")</f>
        <v>LOWEST VALUE</v>
      </c>
      <c r="S851" t="str">
        <f t="shared" si="119"/>
        <v>Profit</v>
      </c>
      <c r="T851" t="str">
        <f t="shared" si="120"/>
        <v>Chad Guzman</v>
      </c>
      <c r="U851" t="str">
        <f t="shared" si="121"/>
        <v>Monitor</v>
      </c>
      <c r="V851">
        <f t="shared" si="122"/>
        <v>2026</v>
      </c>
      <c r="W851">
        <f t="shared" si="123"/>
        <v>5</v>
      </c>
      <c r="X851">
        <f t="shared" si="124"/>
        <v>12</v>
      </c>
      <c r="Y851" t="str">
        <f t="shared" si="125"/>
        <v>May</v>
      </c>
      <c r="Z851">
        <f t="shared" si="126"/>
        <v>8</v>
      </c>
    </row>
    <row r="852" spans="1:26" ht="15.75" customHeight="1" x14ac:dyDescent="0.3">
      <c r="A852" s="2" t="s">
        <v>1977</v>
      </c>
      <c r="B852" s="2" t="s">
        <v>1978</v>
      </c>
      <c r="C852" s="2" t="s">
        <v>37</v>
      </c>
      <c r="D852" s="2" t="s">
        <v>19</v>
      </c>
      <c r="E852" s="2" t="s">
        <v>44</v>
      </c>
      <c r="F852" s="2">
        <v>6</v>
      </c>
      <c r="G852" s="2">
        <v>4966.67</v>
      </c>
      <c r="H852" s="2">
        <v>29800.02</v>
      </c>
      <c r="I852" s="2">
        <v>15983.79</v>
      </c>
      <c r="J852" s="2">
        <v>13816.23</v>
      </c>
      <c r="K852" s="3">
        <v>45713</v>
      </c>
      <c r="L852" s="3">
        <v>45721</v>
      </c>
      <c r="M852" s="2" t="s">
        <v>123</v>
      </c>
      <c r="N852" s="2">
        <v>3</v>
      </c>
      <c r="O852" s="2" t="s">
        <v>732</v>
      </c>
      <c r="P852" s="25">
        <v>8.1</v>
      </c>
      <c r="Q852" t="str">
        <f t="shared" si="118"/>
        <v>0851</v>
      </c>
      <c r="R852" t="str">
        <f>IF('RETAIL SALES DATA.'!H852&gt;AVERAGE('RETAIL SALES DATA.'!H852:H1851),"HIGHEST VALUE","LOWEST VALUE")</f>
        <v>HIGHEST VALUE</v>
      </c>
      <c r="S852" t="str">
        <f t="shared" si="119"/>
        <v>Profit</v>
      </c>
      <c r="T852" t="str">
        <f t="shared" si="120"/>
        <v>Bradley Jackson</v>
      </c>
      <c r="U852" t="str">
        <f t="shared" si="121"/>
        <v>Marker</v>
      </c>
      <c r="V852">
        <f t="shared" si="122"/>
        <v>2025</v>
      </c>
      <c r="W852">
        <f t="shared" si="123"/>
        <v>3</v>
      </c>
      <c r="X852">
        <f t="shared" si="124"/>
        <v>25</v>
      </c>
      <c r="Y852" t="str">
        <f t="shared" si="125"/>
        <v>Feb</v>
      </c>
      <c r="Z852">
        <f t="shared" si="126"/>
        <v>8</v>
      </c>
    </row>
    <row r="853" spans="1:26" ht="15.75" customHeight="1" x14ac:dyDescent="0.3">
      <c r="A853" s="2" t="s">
        <v>1979</v>
      </c>
      <c r="B853" s="2" t="s">
        <v>1980</v>
      </c>
      <c r="C853" s="2" t="s">
        <v>42</v>
      </c>
      <c r="D853" s="2" t="s">
        <v>43</v>
      </c>
      <c r="E853" s="2" t="s">
        <v>44</v>
      </c>
      <c r="F853" s="2">
        <v>2</v>
      </c>
      <c r="G853" s="2">
        <v>4226.32</v>
      </c>
      <c r="H853" s="2">
        <v>8452.64</v>
      </c>
      <c r="I853" s="2">
        <v>4867.37</v>
      </c>
      <c r="J853" s="2">
        <v>3585.27</v>
      </c>
      <c r="K853" s="3">
        <v>45595</v>
      </c>
      <c r="L853" s="3">
        <v>45600</v>
      </c>
      <c r="M853" s="2" t="s">
        <v>69</v>
      </c>
      <c r="N853" s="2">
        <v>2</v>
      </c>
      <c r="O853" s="2" t="s">
        <v>1297</v>
      </c>
      <c r="P853" s="25">
        <v>7.1</v>
      </c>
      <c r="Q853" t="str">
        <f t="shared" si="118"/>
        <v>0852</v>
      </c>
      <c r="R853" t="str">
        <f>IF('RETAIL SALES DATA.'!H853&gt;AVERAGE('RETAIL SALES DATA.'!H853:H1852),"HIGHEST VALUE","LOWEST VALUE")</f>
        <v>LOWEST VALUE</v>
      </c>
      <c r="S853" t="str">
        <f t="shared" si="119"/>
        <v>Profit</v>
      </c>
      <c r="T853" t="str">
        <f t="shared" si="120"/>
        <v>Shawn Graves</v>
      </c>
      <c r="U853" t="str">
        <f t="shared" si="121"/>
        <v>Laptop</v>
      </c>
      <c r="V853">
        <f t="shared" si="122"/>
        <v>2024</v>
      </c>
      <c r="W853">
        <f t="shared" si="123"/>
        <v>11</v>
      </c>
      <c r="X853">
        <f t="shared" si="124"/>
        <v>30</v>
      </c>
      <c r="Y853" t="str">
        <f t="shared" si="125"/>
        <v>Oct</v>
      </c>
      <c r="Z853">
        <f t="shared" si="126"/>
        <v>5</v>
      </c>
    </row>
    <row r="854" spans="1:26" ht="15.75" customHeight="1" x14ac:dyDescent="0.3">
      <c r="A854" s="2" t="s">
        <v>1981</v>
      </c>
      <c r="B854" s="2" t="s">
        <v>1982</v>
      </c>
      <c r="C854" s="2" t="s">
        <v>168</v>
      </c>
      <c r="D854" s="2" t="s">
        <v>43</v>
      </c>
      <c r="E854" s="2" t="s">
        <v>32</v>
      </c>
      <c r="F854" s="2">
        <v>4</v>
      </c>
      <c r="G854" s="2">
        <v>4482.17</v>
      </c>
      <c r="H854" s="2">
        <v>17928.68</v>
      </c>
      <c r="I854" s="2">
        <v>10915.22</v>
      </c>
      <c r="J854" s="2">
        <v>7013.46</v>
      </c>
      <c r="K854" s="3">
        <v>45555</v>
      </c>
      <c r="L854" s="3">
        <v>45556</v>
      </c>
      <c r="M854" s="2" t="s">
        <v>50</v>
      </c>
      <c r="N854" s="2">
        <v>1</v>
      </c>
      <c r="O854" s="2" t="s">
        <v>638</v>
      </c>
      <c r="P854" s="25">
        <v>7.2</v>
      </c>
      <c r="Q854" t="str">
        <f t="shared" si="118"/>
        <v>0853</v>
      </c>
      <c r="R854" t="str">
        <f>IF('RETAIL SALES DATA.'!H854&gt;AVERAGE('RETAIL SALES DATA.'!H854:H1853),"HIGHEST VALUE","LOWEST VALUE")</f>
        <v>LOWEST VALUE</v>
      </c>
      <c r="S854" t="str">
        <f t="shared" si="119"/>
        <v>Profit</v>
      </c>
      <c r="T854" t="str">
        <f t="shared" si="120"/>
        <v>James Lewis</v>
      </c>
      <c r="U854" t="str">
        <f t="shared" si="121"/>
        <v>Keyboard</v>
      </c>
      <c r="V854">
        <f t="shared" si="122"/>
        <v>2024</v>
      </c>
      <c r="W854">
        <f t="shared" si="123"/>
        <v>9</v>
      </c>
      <c r="X854">
        <f t="shared" si="124"/>
        <v>20</v>
      </c>
      <c r="Y854" t="str">
        <f t="shared" si="125"/>
        <v>Sep</v>
      </c>
      <c r="Z854">
        <f t="shared" si="126"/>
        <v>1</v>
      </c>
    </row>
    <row r="855" spans="1:26" ht="15.75" customHeight="1" x14ac:dyDescent="0.3">
      <c r="A855" s="2" t="s">
        <v>1983</v>
      </c>
      <c r="B855" s="2" t="s">
        <v>1984</v>
      </c>
      <c r="C855" s="2" t="s">
        <v>62</v>
      </c>
      <c r="D855" s="2" t="s">
        <v>31</v>
      </c>
      <c r="E855" s="2" t="s">
        <v>44</v>
      </c>
      <c r="F855" s="2">
        <v>4</v>
      </c>
      <c r="G855" s="2">
        <v>1182.52</v>
      </c>
      <c r="H855" s="2">
        <v>4730.08</v>
      </c>
      <c r="I855" s="2">
        <v>4022.52</v>
      </c>
      <c r="J855" s="2">
        <v>707.56</v>
      </c>
      <c r="K855" s="3">
        <v>45862</v>
      </c>
      <c r="L855" s="3">
        <v>45868</v>
      </c>
      <c r="M855" s="2" t="s">
        <v>58</v>
      </c>
      <c r="N855" s="2">
        <v>3</v>
      </c>
      <c r="O855" s="2" t="s">
        <v>441</v>
      </c>
      <c r="P855" s="25">
        <v>7.8</v>
      </c>
      <c r="Q855" t="str">
        <f t="shared" si="118"/>
        <v>0854</v>
      </c>
      <c r="R855" t="str">
        <f>IF('RETAIL SALES DATA.'!H855&gt;AVERAGE('RETAIL SALES DATA.'!H855:H1854),"HIGHEST VALUE","LOWEST VALUE")</f>
        <v>LOWEST VALUE</v>
      </c>
      <c r="S855" t="str">
        <f t="shared" si="119"/>
        <v>Profit</v>
      </c>
      <c r="T855" t="str">
        <f t="shared" si="120"/>
        <v>Ryan Garcia</v>
      </c>
      <c r="U855" t="str">
        <f t="shared" si="121"/>
        <v>Table</v>
      </c>
      <c r="V855">
        <f t="shared" si="122"/>
        <v>2025</v>
      </c>
      <c r="W855">
        <f t="shared" si="123"/>
        <v>7</v>
      </c>
      <c r="X855">
        <f t="shared" si="124"/>
        <v>24</v>
      </c>
      <c r="Y855" t="str">
        <f t="shared" si="125"/>
        <v>Jul</v>
      </c>
      <c r="Z855">
        <f t="shared" si="126"/>
        <v>6</v>
      </c>
    </row>
    <row r="856" spans="1:26" ht="15.75" customHeight="1" x14ac:dyDescent="0.3">
      <c r="A856" s="2" t="s">
        <v>1985</v>
      </c>
      <c r="B856" s="2" t="s">
        <v>1986</v>
      </c>
      <c r="C856" s="2" t="s">
        <v>88</v>
      </c>
      <c r="D856" s="2" t="s">
        <v>31</v>
      </c>
      <c r="E856" s="2" t="s">
        <v>32</v>
      </c>
      <c r="F856" s="2">
        <v>19</v>
      </c>
      <c r="G856" s="2">
        <v>4259.58</v>
      </c>
      <c r="H856" s="2">
        <v>80932.02</v>
      </c>
      <c r="I856" s="2">
        <v>62824.66</v>
      </c>
      <c r="J856" s="2">
        <v>18107.36</v>
      </c>
      <c r="K856" s="3">
        <v>45731</v>
      </c>
      <c r="L856" s="3">
        <v>45734</v>
      </c>
      <c r="M856" s="2" t="s">
        <v>58</v>
      </c>
      <c r="N856" s="2">
        <v>5</v>
      </c>
      <c r="O856" s="2" t="s">
        <v>548</v>
      </c>
      <c r="P856" s="25">
        <v>7.9</v>
      </c>
      <c r="Q856" t="str">
        <f t="shared" si="118"/>
        <v>0855</v>
      </c>
      <c r="R856" t="str">
        <f>IF('RETAIL SALES DATA.'!H856&gt;AVERAGE('RETAIL SALES DATA.'!H856:H1855),"HIGHEST VALUE","LOWEST VALUE")</f>
        <v>HIGHEST VALUE</v>
      </c>
      <c r="S856" t="str">
        <f t="shared" si="119"/>
        <v>Profit</v>
      </c>
      <c r="T856" t="str">
        <f t="shared" si="120"/>
        <v>Charles Green</v>
      </c>
      <c r="U856" t="str">
        <f t="shared" si="121"/>
        <v>Cupboard</v>
      </c>
      <c r="V856">
        <f t="shared" si="122"/>
        <v>2025</v>
      </c>
      <c r="W856">
        <f t="shared" si="123"/>
        <v>3</v>
      </c>
      <c r="X856">
        <f t="shared" si="124"/>
        <v>15</v>
      </c>
      <c r="Y856" t="str">
        <f t="shared" si="125"/>
        <v>Mar</v>
      </c>
      <c r="Z856">
        <f t="shared" si="126"/>
        <v>3</v>
      </c>
    </row>
    <row r="857" spans="1:26" ht="15.75" customHeight="1" x14ac:dyDescent="0.3">
      <c r="A857" s="2" t="s">
        <v>1987</v>
      </c>
      <c r="B857" s="2" t="s">
        <v>1988</v>
      </c>
      <c r="C857" s="2" t="s">
        <v>139</v>
      </c>
      <c r="D857" s="2" t="s">
        <v>31</v>
      </c>
      <c r="E857" s="2" t="s">
        <v>20</v>
      </c>
      <c r="F857" s="2">
        <v>11</v>
      </c>
      <c r="G857" s="2">
        <v>856.08</v>
      </c>
      <c r="H857" s="2">
        <v>9416.8799999999992</v>
      </c>
      <c r="I857" s="2">
        <v>6675.65</v>
      </c>
      <c r="J857" s="2">
        <v>2741.23</v>
      </c>
      <c r="K857" s="3">
        <v>46036</v>
      </c>
      <c r="L857" s="3">
        <v>46046</v>
      </c>
      <c r="M857" s="2" t="s">
        <v>58</v>
      </c>
      <c r="N857" s="2">
        <v>5</v>
      </c>
      <c r="O857" s="2" t="s">
        <v>423</v>
      </c>
      <c r="P857" s="25">
        <v>8.1</v>
      </c>
      <c r="Q857" t="str">
        <f t="shared" si="118"/>
        <v>0856</v>
      </c>
      <c r="R857" t="str">
        <f>IF('RETAIL SALES DATA.'!H857&gt;AVERAGE('RETAIL SALES DATA.'!H857:H1856),"HIGHEST VALUE","LOWEST VALUE")</f>
        <v>LOWEST VALUE</v>
      </c>
      <c r="S857" t="str">
        <f t="shared" si="119"/>
        <v>Profit</v>
      </c>
      <c r="T857" t="str">
        <f t="shared" si="120"/>
        <v>Jeffrey Hamilton</v>
      </c>
      <c r="U857" t="str">
        <f t="shared" si="121"/>
        <v>Sofa</v>
      </c>
      <c r="V857">
        <f t="shared" si="122"/>
        <v>2026</v>
      </c>
      <c r="W857">
        <f t="shared" si="123"/>
        <v>1</v>
      </c>
      <c r="X857">
        <f t="shared" si="124"/>
        <v>14</v>
      </c>
      <c r="Y857" t="str">
        <f t="shared" si="125"/>
        <v>Jan</v>
      </c>
      <c r="Z857">
        <f t="shared" si="126"/>
        <v>10</v>
      </c>
    </row>
    <row r="858" spans="1:26" ht="15.75" customHeight="1" x14ac:dyDescent="0.3">
      <c r="A858" s="2" t="s">
        <v>1989</v>
      </c>
      <c r="B858" s="2" t="s">
        <v>1990</v>
      </c>
      <c r="C858" s="2" t="s">
        <v>37</v>
      </c>
      <c r="D858" s="2" t="s">
        <v>19</v>
      </c>
      <c r="E858" s="2" t="s">
        <v>44</v>
      </c>
      <c r="F858" s="2">
        <v>7</v>
      </c>
      <c r="G858" s="2">
        <v>59.85</v>
      </c>
      <c r="H858" s="2">
        <v>418.95</v>
      </c>
      <c r="I858" s="2">
        <v>232.28</v>
      </c>
      <c r="J858" s="2">
        <v>186.67</v>
      </c>
      <c r="K858" s="3">
        <v>45525</v>
      </c>
      <c r="L858" s="3">
        <v>45529</v>
      </c>
      <c r="M858" s="2" t="s">
        <v>123</v>
      </c>
      <c r="N858" s="2">
        <v>1</v>
      </c>
      <c r="O858" s="2" t="s">
        <v>788</v>
      </c>
      <c r="P858" s="25">
        <v>9.4</v>
      </c>
      <c r="Q858" t="str">
        <f t="shared" si="118"/>
        <v>0857</v>
      </c>
      <c r="R858" t="str">
        <f>IF('RETAIL SALES DATA.'!H858&gt;AVERAGE('RETAIL SALES DATA.'!H858:H1857),"HIGHEST VALUE","LOWEST VALUE")</f>
        <v>LOWEST VALUE</v>
      </c>
      <c r="S858" t="str">
        <f t="shared" si="119"/>
        <v>Profit</v>
      </c>
      <c r="T858" t="str">
        <f t="shared" si="120"/>
        <v>Joseph Thomas</v>
      </c>
      <c r="U858" t="str">
        <f t="shared" si="121"/>
        <v>Marker</v>
      </c>
      <c r="V858">
        <f t="shared" si="122"/>
        <v>2024</v>
      </c>
      <c r="W858">
        <f t="shared" si="123"/>
        <v>8</v>
      </c>
      <c r="X858">
        <f t="shared" si="124"/>
        <v>21</v>
      </c>
      <c r="Y858" t="str">
        <f t="shared" si="125"/>
        <v>Aug</v>
      </c>
      <c r="Z858">
        <f t="shared" si="126"/>
        <v>4</v>
      </c>
    </row>
    <row r="859" spans="1:26" ht="15.75" customHeight="1" x14ac:dyDescent="0.3">
      <c r="A859" s="2" t="s">
        <v>1991</v>
      </c>
      <c r="B859" s="2" t="s">
        <v>1992</v>
      </c>
      <c r="C859" s="2" t="s">
        <v>57</v>
      </c>
      <c r="D859" s="2" t="s">
        <v>19</v>
      </c>
      <c r="E859" s="2" t="s">
        <v>25</v>
      </c>
      <c r="F859" s="2">
        <v>3</v>
      </c>
      <c r="G859" s="2">
        <v>4687.99</v>
      </c>
      <c r="H859" s="2">
        <v>14063.97</v>
      </c>
      <c r="I859" s="2">
        <v>7959.28</v>
      </c>
      <c r="J859" s="2">
        <v>6104.69</v>
      </c>
      <c r="K859" s="3">
        <v>45590</v>
      </c>
      <c r="L859" s="3">
        <v>45593</v>
      </c>
      <c r="M859" s="2" t="s">
        <v>45</v>
      </c>
      <c r="N859" s="2">
        <v>2</v>
      </c>
      <c r="O859" s="2" t="s">
        <v>460</v>
      </c>
      <c r="P859" s="25">
        <v>9.4</v>
      </c>
      <c r="Q859" t="str">
        <f t="shared" si="118"/>
        <v>0858</v>
      </c>
      <c r="R859" t="str">
        <f>IF('RETAIL SALES DATA.'!H859&gt;AVERAGE('RETAIL SALES DATA.'!H859:H1858),"HIGHEST VALUE","LOWEST VALUE")</f>
        <v>LOWEST VALUE</v>
      </c>
      <c r="S859" t="str">
        <f t="shared" si="119"/>
        <v>Profit</v>
      </c>
      <c r="T859" t="str">
        <f t="shared" si="120"/>
        <v>Amber Mueller</v>
      </c>
      <c r="U859" t="str">
        <f t="shared" si="121"/>
        <v>Notebook</v>
      </c>
      <c r="V859">
        <f t="shared" si="122"/>
        <v>2024</v>
      </c>
      <c r="W859">
        <f t="shared" si="123"/>
        <v>10</v>
      </c>
      <c r="X859">
        <f t="shared" si="124"/>
        <v>25</v>
      </c>
      <c r="Y859" t="str">
        <f t="shared" si="125"/>
        <v>Oct</v>
      </c>
      <c r="Z859">
        <f t="shared" si="126"/>
        <v>3</v>
      </c>
    </row>
    <row r="860" spans="1:26" ht="15.75" customHeight="1" x14ac:dyDescent="0.3">
      <c r="A860" s="2" t="s">
        <v>1993</v>
      </c>
      <c r="B860" s="2" t="s">
        <v>1994</v>
      </c>
      <c r="C860" s="2" t="s">
        <v>144</v>
      </c>
      <c r="D860" s="2" t="s">
        <v>19</v>
      </c>
      <c r="E860" s="2" t="s">
        <v>25</v>
      </c>
      <c r="F860" s="2">
        <v>14</v>
      </c>
      <c r="G860" s="2">
        <v>2546.16</v>
      </c>
      <c r="H860" s="2">
        <v>35646.239999999998</v>
      </c>
      <c r="I860" s="2">
        <v>23252.400000000001</v>
      </c>
      <c r="J860" s="2">
        <v>12393.84</v>
      </c>
      <c r="K860" s="3">
        <v>46057</v>
      </c>
      <c r="L860" s="3">
        <v>46059</v>
      </c>
      <c r="M860" s="2" t="s">
        <v>45</v>
      </c>
      <c r="N860" s="2">
        <v>2</v>
      </c>
      <c r="O860" s="2" t="s">
        <v>96</v>
      </c>
      <c r="P860" s="25">
        <v>6.4</v>
      </c>
      <c r="Q860" t="str">
        <f t="shared" si="118"/>
        <v>0859</v>
      </c>
      <c r="R860" t="str">
        <f>IF('RETAIL SALES DATA.'!H860&gt;AVERAGE('RETAIL SALES DATA.'!H860:H1859),"HIGHEST VALUE","LOWEST VALUE")</f>
        <v>HIGHEST VALUE</v>
      </c>
      <c r="S860" t="str">
        <f t="shared" si="119"/>
        <v>Profit</v>
      </c>
      <c r="T860" t="str">
        <f t="shared" si="120"/>
        <v>Brenda Stevens</v>
      </c>
      <c r="U860" t="str">
        <f t="shared" si="121"/>
        <v>File</v>
      </c>
      <c r="V860">
        <f t="shared" si="122"/>
        <v>2026</v>
      </c>
      <c r="W860">
        <f t="shared" si="123"/>
        <v>2</v>
      </c>
      <c r="X860">
        <f t="shared" si="124"/>
        <v>4</v>
      </c>
      <c r="Y860" t="str">
        <f t="shared" si="125"/>
        <v>Feb</v>
      </c>
      <c r="Z860">
        <f t="shared" si="126"/>
        <v>2</v>
      </c>
    </row>
    <row r="861" spans="1:26" ht="15.75" customHeight="1" x14ac:dyDescent="0.3">
      <c r="A861" s="2" t="s">
        <v>1995</v>
      </c>
      <c r="B861" s="2" t="s">
        <v>1996</v>
      </c>
      <c r="C861" s="2" t="s">
        <v>57</v>
      </c>
      <c r="D861" s="2" t="s">
        <v>19</v>
      </c>
      <c r="E861" s="2" t="s">
        <v>44</v>
      </c>
      <c r="F861" s="2">
        <v>20</v>
      </c>
      <c r="G861" s="2">
        <v>3851.8</v>
      </c>
      <c r="H861" s="2">
        <v>77036</v>
      </c>
      <c r="I861" s="2">
        <v>48575.42</v>
      </c>
      <c r="J861" s="2">
        <v>28460.58</v>
      </c>
      <c r="K861" s="3">
        <v>45933</v>
      </c>
      <c r="L861" s="3">
        <v>45939</v>
      </c>
      <c r="M861" s="2" t="s">
        <v>123</v>
      </c>
      <c r="N861" s="2">
        <v>1</v>
      </c>
      <c r="O861" s="2" t="s">
        <v>383</v>
      </c>
      <c r="P861" s="25">
        <v>7.9</v>
      </c>
      <c r="Q861" t="str">
        <f t="shared" si="118"/>
        <v>0860</v>
      </c>
      <c r="R861" t="str">
        <f>IF('RETAIL SALES DATA.'!H861&gt;AVERAGE('RETAIL SALES DATA.'!H861:H1860),"HIGHEST VALUE","LOWEST VALUE")</f>
        <v>HIGHEST VALUE</v>
      </c>
      <c r="S861" t="str">
        <f t="shared" si="119"/>
        <v>Profit</v>
      </c>
      <c r="T861" t="str">
        <f t="shared" si="120"/>
        <v>Howard Jackson</v>
      </c>
      <c r="U861" t="str">
        <f t="shared" si="121"/>
        <v>Notebook</v>
      </c>
      <c r="V861">
        <f t="shared" si="122"/>
        <v>2025</v>
      </c>
      <c r="W861">
        <f t="shared" si="123"/>
        <v>10</v>
      </c>
      <c r="X861">
        <f t="shared" si="124"/>
        <v>3</v>
      </c>
      <c r="Y861" t="str">
        <f t="shared" si="125"/>
        <v>Oct</v>
      </c>
      <c r="Z861">
        <f t="shared" si="126"/>
        <v>6</v>
      </c>
    </row>
    <row r="862" spans="1:26" ht="15.75" customHeight="1" x14ac:dyDescent="0.3">
      <c r="A862" s="2" t="s">
        <v>1997</v>
      </c>
      <c r="B862" s="2" t="s">
        <v>1998</v>
      </c>
      <c r="C862" s="2" t="s">
        <v>57</v>
      </c>
      <c r="D862" s="2" t="s">
        <v>19</v>
      </c>
      <c r="E862" s="2" t="s">
        <v>32</v>
      </c>
      <c r="F862" s="2">
        <v>11</v>
      </c>
      <c r="G862" s="2">
        <v>2328.81</v>
      </c>
      <c r="H862" s="2">
        <v>25616.91</v>
      </c>
      <c r="I862" s="2">
        <v>19747.810000000001</v>
      </c>
      <c r="J862" s="2">
        <v>5869.1</v>
      </c>
      <c r="K862" s="3">
        <v>45605</v>
      </c>
      <c r="L862" s="3">
        <v>45611</v>
      </c>
      <c r="M862" s="2" t="s">
        <v>26</v>
      </c>
      <c r="N862" s="2">
        <v>3</v>
      </c>
      <c r="O862" s="2" t="s">
        <v>305</v>
      </c>
      <c r="P862" s="25">
        <v>7.1</v>
      </c>
      <c r="Q862" t="str">
        <f t="shared" si="118"/>
        <v>0861</v>
      </c>
      <c r="R862" t="str">
        <f>IF('RETAIL SALES DATA.'!H862&gt;AVERAGE('RETAIL SALES DATA.'!H862:H1861),"HIGHEST VALUE","LOWEST VALUE")</f>
        <v>LOWEST VALUE</v>
      </c>
      <c r="S862" t="str">
        <f>IF(J862&gt;0,"Profit","Loss")</f>
        <v>Profit</v>
      </c>
      <c r="T862" t="str">
        <f t="shared" si="120"/>
        <v>Victor Camacho</v>
      </c>
      <c r="U862" t="str">
        <f t="shared" si="121"/>
        <v>Notebook</v>
      </c>
      <c r="V862">
        <f t="shared" si="122"/>
        <v>2024</v>
      </c>
      <c r="W862">
        <f t="shared" si="123"/>
        <v>11</v>
      </c>
      <c r="X862">
        <f t="shared" si="124"/>
        <v>9</v>
      </c>
      <c r="Y862" t="str">
        <f t="shared" si="125"/>
        <v>Nov</v>
      </c>
      <c r="Z862">
        <f t="shared" si="126"/>
        <v>6</v>
      </c>
    </row>
    <row r="863" spans="1:26" ht="15.75" customHeight="1" x14ac:dyDescent="0.3">
      <c r="A863" s="2" t="s">
        <v>1999</v>
      </c>
      <c r="B863" s="2" t="s">
        <v>2000</v>
      </c>
      <c r="C863" s="2" t="s">
        <v>62</v>
      </c>
      <c r="D863" s="2" t="s">
        <v>31</v>
      </c>
      <c r="E863" s="2" t="s">
        <v>32</v>
      </c>
      <c r="F863" s="2">
        <v>7</v>
      </c>
      <c r="G863" s="2">
        <v>1421.9</v>
      </c>
      <c r="H863" s="2">
        <v>9953.2999999999993</v>
      </c>
      <c r="I863" s="2">
        <v>7553.34</v>
      </c>
      <c r="J863" s="2">
        <v>2399.96</v>
      </c>
      <c r="K863" s="3">
        <v>45671</v>
      </c>
      <c r="L863" s="3">
        <v>45676</v>
      </c>
      <c r="M863" s="2" t="s">
        <v>58</v>
      </c>
      <c r="N863" s="2">
        <v>5</v>
      </c>
      <c r="O863" s="2" t="s">
        <v>335</v>
      </c>
      <c r="P863" s="25">
        <v>8.1</v>
      </c>
      <c r="Q863" t="str">
        <f t="shared" si="118"/>
        <v>0862</v>
      </c>
      <c r="R863" t="str">
        <f>IF('RETAIL SALES DATA.'!H863&gt;AVERAGE('RETAIL SALES DATA.'!H863:H1862),"HIGHEST VALUE","LOWEST VALUE")</f>
        <v>LOWEST VALUE</v>
      </c>
      <c r="S863" t="str">
        <f t="shared" ref="S863:S902" si="127">IF(J863&gt;0,"Profit","Loss")</f>
        <v>Profit</v>
      </c>
      <c r="T863" t="str">
        <f t="shared" si="120"/>
        <v>Anthony Hansen</v>
      </c>
      <c r="U863" t="str">
        <f t="shared" si="121"/>
        <v>Table</v>
      </c>
      <c r="V863">
        <f t="shared" si="122"/>
        <v>2025</v>
      </c>
      <c r="W863">
        <f t="shared" si="123"/>
        <v>1</v>
      </c>
      <c r="X863">
        <f t="shared" si="124"/>
        <v>14</v>
      </c>
      <c r="Y863" t="str">
        <f t="shared" si="125"/>
        <v>Jan</v>
      </c>
      <c r="Z863">
        <f t="shared" si="126"/>
        <v>5</v>
      </c>
    </row>
    <row r="864" spans="1:26" ht="15.75" customHeight="1" x14ac:dyDescent="0.3">
      <c r="A864" s="2" t="s">
        <v>2001</v>
      </c>
      <c r="B864" s="2" t="s">
        <v>2002</v>
      </c>
      <c r="C864" s="2" t="s">
        <v>88</v>
      </c>
      <c r="D864" s="2" t="s">
        <v>31</v>
      </c>
      <c r="E864" s="2" t="s">
        <v>44</v>
      </c>
      <c r="F864" s="2">
        <v>5</v>
      </c>
      <c r="G864" s="2">
        <v>3462.76</v>
      </c>
      <c r="H864" s="2">
        <v>17313.8</v>
      </c>
      <c r="I864" s="2">
        <v>15455.27</v>
      </c>
      <c r="J864" s="2">
        <v>1858.53</v>
      </c>
      <c r="K864" s="3">
        <v>46097</v>
      </c>
      <c r="L864" s="3">
        <v>46106</v>
      </c>
      <c r="M864" s="2" t="s">
        <v>50</v>
      </c>
      <c r="N864" s="2">
        <v>1</v>
      </c>
      <c r="O864" s="2" t="s">
        <v>417</v>
      </c>
      <c r="P864" s="25">
        <v>8.8000000000000007</v>
      </c>
      <c r="Q864" t="str">
        <f t="shared" si="118"/>
        <v>0863</v>
      </c>
      <c r="R864" t="str">
        <f>IF('RETAIL SALES DATA.'!H864&gt;AVERAGE('RETAIL SALES DATA.'!H864:H1863),"HIGHEST VALUE","LOWEST VALUE")</f>
        <v>LOWEST VALUE</v>
      </c>
      <c r="S864" t="str">
        <f t="shared" si="127"/>
        <v>Profit</v>
      </c>
      <c r="T864" t="str">
        <f t="shared" si="120"/>
        <v>Michael Holt</v>
      </c>
      <c r="U864" t="str">
        <f t="shared" si="121"/>
        <v>Cupboard</v>
      </c>
      <c r="V864">
        <f t="shared" si="122"/>
        <v>2026</v>
      </c>
      <c r="W864">
        <f t="shared" si="123"/>
        <v>3</v>
      </c>
      <c r="X864">
        <f t="shared" si="124"/>
        <v>16</v>
      </c>
      <c r="Y864" t="str">
        <f t="shared" si="125"/>
        <v>Mar</v>
      </c>
      <c r="Z864">
        <f t="shared" si="126"/>
        <v>9</v>
      </c>
    </row>
    <row r="865" spans="1:26" ht="15.75" customHeight="1" x14ac:dyDescent="0.3">
      <c r="A865" s="2" t="s">
        <v>2003</v>
      </c>
      <c r="B865" s="2" t="s">
        <v>2004</v>
      </c>
      <c r="C865" s="2" t="s">
        <v>30</v>
      </c>
      <c r="D865" s="2" t="s">
        <v>31</v>
      </c>
      <c r="E865" s="2" t="s">
        <v>20</v>
      </c>
      <c r="F865" s="2">
        <v>8</v>
      </c>
      <c r="G865" s="2">
        <v>4306.8500000000004</v>
      </c>
      <c r="H865" s="2">
        <v>34454.800000000003</v>
      </c>
      <c r="I865" s="2">
        <v>21192.66</v>
      </c>
      <c r="J865" s="2">
        <v>13262.14</v>
      </c>
      <c r="K865" s="3">
        <v>45825</v>
      </c>
      <c r="L865" s="3">
        <v>45833</v>
      </c>
      <c r="M865" s="2" t="s">
        <v>50</v>
      </c>
      <c r="N865" s="2">
        <v>1</v>
      </c>
      <c r="O865" s="2" t="s">
        <v>683</v>
      </c>
      <c r="P865" s="25">
        <v>8.8000000000000007</v>
      </c>
      <c r="Q865" t="str">
        <f t="shared" si="118"/>
        <v>0864</v>
      </c>
      <c r="R865" t="str">
        <f>IF('RETAIL SALES DATA.'!H865&gt;AVERAGE('RETAIL SALES DATA.'!H865:H1864),"HIGHEST VALUE","LOWEST VALUE")</f>
        <v>HIGHEST VALUE</v>
      </c>
      <c r="S865" t="str">
        <f t="shared" si="127"/>
        <v>Profit</v>
      </c>
      <c r="T865" t="str">
        <f t="shared" si="120"/>
        <v>Patrick Johnson</v>
      </c>
      <c r="U865" t="str">
        <f t="shared" si="121"/>
        <v>Desk</v>
      </c>
      <c r="V865">
        <f t="shared" si="122"/>
        <v>2025</v>
      </c>
      <c r="W865">
        <f t="shared" si="123"/>
        <v>6</v>
      </c>
      <c r="X865">
        <f t="shared" si="124"/>
        <v>17</v>
      </c>
      <c r="Y865" t="str">
        <f t="shared" si="125"/>
        <v>Jun</v>
      </c>
      <c r="Z865">
        <f t="shared" si="126"/>
        <v>8</v>
      </c>
    </row>
    <row r="866" spans="1:26" ht="15.75" customHeight="1" x14ac:dyDescent="0.3">
      <c r="A866" s="2" t="s">
        <v>2005</v>
      </c>
      <c r="B866" s="2" t="s">
        <v>2006</v>
      </c>
      <c r="C866" s="2" t="s">
        <v>49</v>
      </c>
      <c r="D866" s="2" t="s">
        <v>43</v>
      </c>
      <c r="E866" s="2" t="s">
        <v>25</v>
      </c>
      <c r="F866" s="2">
        <v>8</v>
      </c>
      <c r="G866" s="2">
        <v>2431.16</v>
      </c>
      <c r="H866" s="2">
        <v>19449.28</v>
      </c>
      <c r="I866" s="2">
        <v>12614.09</v>
      </c>
      <c r="J866" s="2">
        <v>6835.19</v>
      </c>
      <c r="K866" s="3">
        <v>45611</v>
      </c>
      <c r="L866" s="3">
        <v>45616</v>
      </c>
      <c r="M866" s="2" t="s">
        <v>50</v>
      </c>
      <c r="N866" s="2">
        <v>2</v>
      </c>
      <c r="O866" s="2" t="s">
        <v>475</v>
      </c>
      <c r="P866" s="25">
        <v>8.5</v>
      </c>
      <c r="Q866" t="str">
        <f t="shared" si="118"/>
        <v>0865</v>
      </c>
      <c r="R866" t="str">
        <f>IF('RETAIL SALES DATA.'!H866&gt;AVERAGE('RETAIL SALES DATA.'!H866:H1865),"HIGHEST VALUE","LOWEST VALUE")</f>
        <v>LOWEST VALUE</v>
      </c>
      <c r="S866" t="str">
        <f t="shared" si="127"/>
        <v>Profit</v>
      </c>
      <c r="T866" t="str">
        <f t="shared" si="120"/>
        <v>Lisa Parker</v>
      </c>
      <c r="U866" t="str">
        <f t="shared" si="121"/>
        <v>Mouse</v>
      </c>
      <c r="V866">
        <f t="shared" si="122"/>
        <v>2024</v>
      </c>
      <c r="W866">
        <f t="shared" si="123"/>
        <v>11</v>
      </c>
      <c r="X866">
        <f t="shared" si="124"/>
        <v>15</v>
      </c>
      <c r="Y866" t="str">
        <f t="shared" si="125"/>
        <v>Nov</v>
      </c>
      <c r="Z866">
        <f t="shared" si="126"/>
        <v>5</v>
      </c>
    </row>
    <row r="867" spans="1:26" ht="15.75" customHeight="1" x14ac:dyDescent="0.3">
      <c r="A867" s="2" t="s">
        <v>2007</v>
      </c>
      <c r="B867" s="2" t="s">
        <v>2008</v>
      </c>
      <c r="C867" s="2" t="s">
        <v>62</v>
      </c>
      <c r="D867" s="2" t="s">
        <v>31</v>
      </c>
      <c r="E867" s="2" t="s">
        <v>44</v>
      </c>
      <c r="F867" s="2">
        <v>11</v>
      </c>
      <c r="G867" s="2">
        <v>3359.68</v>
      </c>
      <c r="H867" s="2">
        <v>36956.480000000003</v>
      </c>
      <c r="I867" s="2">
        <v>32064.07</v>
      </c>
      <c r="J867" s="2">
        <v>4892.41</v>
      </c>
      <c r="K867" s="3">
        <v>45458</v>
      </c>
      <c r="L867" s="3">
        <v>45464</v>
      </c>
      <c r="M867" s="2" t="s">
        <v>58</v>
      </c>
      <c r="N867" s="2">
        <v>5</v>
      </c>
      <c r="O867" s="2" t="s">
        <v>907</v>
      </c>
      <c r="P867" s="25">
        <v>6.2</v>
      </c>
      <c r="Q867" t="str">
        <f t="shared" si="118"/>
        <v>0866</v>
      </c>
      <c r="R867" t="str">
        <f>IF('RETAIL SALES DATA.'!H867&gt;AVERAGE('RETAIL SALES DATA.'!H867:H1866),"HIGHEST VALUE","LOWEST VALUE")</f>
        <v>HIGHEST VALUE</v>
      </c>
      <c r="S867" t="str">
        <f t="shared" si="127"/>
        <v>Profit</v>
      </c>
      <c r="T867" t="str">
        <f t="shared" si="120"/>
        <v>Charles Flores</v>
      </c>
      <c r="U867" t="str">
        <f t="shared" si="121"/>
        <v>Table</v>
      </c>
      <c r="V867">
        <f t="shared" si="122"/>
        <v>2024</v>
      </c>
      <c r="W867">
        <f t="shared" si="123"/>
        <v>6</v>
      </c>
      <c r="X867">
        <f t="shared" si="124"/>
        <v>15</v>
      </c>
      <c r="Y867" t="str">
        <f t="shared" si="125"/>
        <v>Jun</v>
      </c>
      <c r="Z867">
        <f t="shared" si="126"/>
        <v>6</v>
      </c>
    </row>
    <row r="868" spans="1:26" ht="15.75" customHeight="1" x14ac:dyDescent="0.3">
      <c r="A868" s="2" t="s">
        <v>2009</v>
      </c>
      <c r="B868" s="2" t="s">
        <v>2010</v>
      </c>
      <c r="C868" s="2" t="s">
        <v>95</v>
      </c>
      <c r="D868" s="2" t="s">
        <v>19</v>
      </c>
      <c r="E868" s="2" t="s">
        <v>20</v>
      </c>
      <c r="F868" s="2">
        <v>10</v>
      </c>
      <c r="G868" s="2">
        <v>3443.89</v>
      </c>
      <c r="H868" s="2">
        <v>34438.9</v>
      </c>
      <c r="I868" s="2">
        <v>21258.65</v>
      </c>
      <c r="J868" s="2">
        <v>13180.25</v>
      </c>
      <c r="K868" s="3">
        <v>46019</v>
      </c>
      <c r="L868" s="3">
        <v>46029</v>
      </c>
      <c r="M868" s="2" t="s">
        <v>58</v>
      </c>
      <c r="N868" s="2">
        <v>3</v>
      </c>
      <c r="O868" s="2" t="s">
        <v>66</v>
      </c>
      <c r="P868" s="25">
        <v>8.6</v>
      </c>
      <c r="Q868" t="str">
        <f t="shared" si="118"/>
        <v>0867</v>
      </c>
      <c r="R868" t="str">
        <f>IF('RETAIL SALES DATA.'!H868&gt;AVERAGE('RETAIL SALES DATA.'!H868:H1867),"HIGHEST VALUE","LOWEST VALUE")</f>
        <v>HIGHEST VALUE</v>
      </c>
      <c r="S868" t="str">
        <f t="shared" si="127"/>
        <v>Profit</v>
      </c>
      <c r="T868" t="str">
        <f t="shared" si="120"/>
        <v>Alexis Bell</v>
      </c>
      <c r="U868" t="str">
        <f t="shared" si="121"/>
        <v>Printer</v>
      </c>
      <c r="V868">
        <f t="shared" si="122"/>
        <v>2025</v>
      </c>
      <c r="W868">
        <f t="shared" si="123"/>
        <v>1</v>
      </c>
      <c r="X868">
        <f t="shared" si="124"/>
        <v>28</v>
      </c>
      <c r="Y868" t="str">
        <f t="shared" si="125"/>
        <v>Dec</v>
      </c>
      <c r="Z868">
        <f t="shared" si="126"/>
        <v>10</v>
      </c>
    </row>
    <row r="869" spans="1:26" ht="15.75" customHeight="1" x14ac:dyDescent="0.3">
      <c r="A869" s="2" t="s">
        <v>2011</v>
      </c>
      <c r="B869" s="2" t="s">
        <v>2012</v>
      </c>
      <c r="C869" s="2" t="s">
        <v>42</v>
      </c>
      <c r="D869" s="2" t="s">
        <v>43</v>
      </c>
      <c r="E869" s="2" t="s">
        <v>25</v>
      </c>
      <c r="F869" s="2">
        <v>12</v>
      </c>
      <c r="G869" s="2">
        <v>4400.7700000000004</v>
      </c>
      <c r="H869" s="2">
        <v>52809.24</v>
      </c>
      <c r="I869" s="2">
        <v>43675.49</v>
      </c>
      <c r="J869" s="2">
        <v>9133.75</v>
      </c>
      <c r="K869" s="3">
        <v>45884</v>
      </c>
      <c r="L869" s="3">
        <v>45885</v>
      </c>
      <c r="M869" s="2" t="s">
        <v>123</v>
      </c>
      <c r="N869" s="2">
        <v>4</v>
      </c>
      <c r="O869" s="2" t="s">
        <v>1218</v>
      </c>
      <c r="P869" s="25">
        <v>7.7</v>
      </c>
      <c r="Q869" t="str">
        <f t="shared" si="118"/>
        <v>0868</v>
      </c>
      <c r="R869" t="str">
        <f>IF('RETAIL SALES DATA.'!H869&gt;AVERAGE('RETAIL SALES DATA.'!H869:H1868),"HIGHEST VALUE","LOWEST VALUE")</f>
        <v>HIGHEST VALUE</v>
      </c>
      <c r="S869" t="str">
        <f t="shared" si="127"/>
        <v>Profit</v>
      </c>
      <c r="T869" t="str">
        <f t="shared" si="120"/>
        <v>Holly Harris</v>
      </c>
      <c r="U869" t="str">
        <f t="shared" si="121"/>
        <v>Laptop</v>
      </c>
      <c r="V869">
        <f t="shared" si="122"/>
        <v>2025</v>
      </c>
      <c r="W869">
        <f t="shared" si="123"/>
        <v>8</v>
      </c>
      <c r="X869">
        <f t="shared" si="124"/>
        <v>15</v>
      </c>
      <c r="Y869" t="str">
        <f t="shared" si="125"/>
        <v>Aug</v>
      </c>
      <c r="Z869">
        <f t="shared" si="126"/>
        <v>1</v>
      </c>
    </row>
    <row r="870" spans="1:26" ht="15.75" customHeight="1" x14ac:dyDescent="0.3">
      <c r="A870" s="2" t="s">
        <v>2013</v>
      </c>
      <c r="B870" s="2" t="s">
        <v>2014</v>
      </c>
      <c r="C870" s="2" t="s">
        <v>30</v>
      </c>
      <c r="D870" s="2" t="s">
        <v>31</v>
      </c>
      <c r="E870" s="2" t="s">
        <v>20</v>
      </c>
      <c r="F870" s="2">
        <v>20</v>
      </c>
      <c r="G870" s="2">
        <v>523.63</v>
      </c>
      <c r="H870" s="2">
        <v>10472.6</v>
      </c>
      <c r="I870" s="2">
        <v>8874.33</v>
      </c>
      <c r="J870" s="2">
        <v>1598.27</v>
      </c>
      <c r="K870" s="3">
        <v>46147</v>
      </c>
      <c r="L870" s="3">
        <v>46148</v>
      </c>
      <c r="M870" s="2" t="s">
        <v>123</v>
      </c>
      <c r="N870" s="2">
        <v>2</v>
      </c>
      <c r="O870" s="2" t="s">
        <v>881</v>
      </c>
      <c r="P870" s="25">
        <v>8.8000000000000007</v>
      </c>
      <c r="Q870" t="str">
        <f t="shared" si="118"/>
        <v>0869</v>
      </c>
      <c r="R870" t="str">
        <f>IF('RETAIL SALES DATA.'!H870&gt;AVERAGE('RETAIL SALES DATA.'!H870:H1869),"HIGHEST VALUE","LOWEST VALUE")</f>
        <v>LOWEST VALUE</v>
      </c>
      <c r="S870" t="str">
        <f t="shared" si="127"/>
        <v>Profit</v>
      </c>
      <c r="T870" t="str">
        <f t="shared" si="120"/>
        <v>Seth West</v>
      </c>
      <c r="U870" t="str">
        <f t="shared" si="121"/>
        <v>Desk</v>
      </c>
      <c r="V870">
        <f t="shared" si="122"/>
        <v>2026</v>
      </c>
      <c r="W870">
        <f t="shared" si="123"/>
        <v>5</v>
      </c>
      <c r="X870">
        <f t="shared" si="124"/>
        <v>5</v>
      </c>
      <c r="Y870" t="str">
        <f t="shared" si="125"/>
        <v>May</v>
      </c>
      <c r="Z870">
        <f t="shared" si="126"/>
        <v>1</v>
      </c>
    </row>
    <row r="871" spans="1:26" ht="15.75" customHeight="1" x14ac:dyDescent="0.3">
      <c r="A871" s="2" t="s">
        <v>2015</v>
      </c>
      <c r="B871" s="2" t="s">
        <v>2016</v>
      </c>
      <c r="C871" s="2" t="s">
        <v>72</v>
      </c>
      <c r="D871" s="2" t="s">
        <v>31</v>
      </c>
      <c r="E871" s="2" t="s">
        <v>32</v>
      </c>
      <c r="F871" s="2">
        <v>9</v>
      </c>
      <c r="G871" s="2">
        <v>197.51</v>
      </c>
      <c r="H871" s="2">
        <v>1777.59</v>
      </c>
      <c r="I871" s="2">
        <v>1166.1400000000001</v>
      </c>
      <c r="J871" s="2">
        <v>611.45000000000005</v>
      </c>
      <c r="K871" s="3">
        <v>45670</v>
      </c>
      <c r="L871" s="3">
        <v>45678</v>
      </c>
      <c r="M871" s="2" t="s">
        <v>58</v>
      </c>
      <c r="N871" s="2">
        <v>1</v>
      </c>
      <c r="O871" s="2" t="s">
        <v>417</v>
      </c>
      <c r="P871" s="25">
        <v>8.1</v>
      </c>
      <c r="Q871" t="str">
        <f t="shared" si="118"/>
        <v>0870</v>
      </c>
      <c r="R871" t="str">
        <f>IF('RETAIL SALES DATA.'!H871&gt;AVERAGE('RETAIL SALES DATA.'!H871:H1870),"HIGHEST VALUE","LOWEST VALUE")</f>
        <v>LOWEST VALUE</v>
      </c>
      <c r="S871" t="str">
        <f t="shared" si="127"/>
        <v>Profit</v>
      </c>
      <c r="T871" t="str">
        <f t="shared" si="120"/>
        <v>Brittany Arnold</v>
      </c>
      <c r="U871" t="str">
        <f t="shared" si="121"/>
        <v>Chair</v>
      </c>
      <c r="V871">
        <f t="shared" si="122"/>
        <v>2025</v>
      </c>
      <c r="W871">
        <f t="shared" si="123"/>
        <v>1</v>
      </c>
      <c r="X871">
        <f t="shared" si="124"/>
        <v>13</v>
      </c>
      <c r="Y871" t="str">
        <f t="shared" si="125"/>
        <v>Jan</v>
      </c>
      <c r="Z871">
        <f t="shared" si="126"/>
        <v>8</v>
      </c>
    </row>
    <row r="872" spans="1:26" ht="15.75" customHeight="1" x14ac:dyDescent="0.3">
      <c r="A872" s="2" t="s">
        <v>2017</v>
      </c>
      <c r="B872" s="2" t="s">
        <v>2018</v>
      </c>
      <c r="C872" s="2" t="s">
        <v>72</v>
      </c>
      <c r="D872" s="2" t="s">
        <v>31</v>
      </c>
      <c r="E872" s="2" t="s">
        <v>25</v>
      </c>
      <c r="F872" s="2">
        <v>14</v>
      </c>
      <c r="G872" s="2">
        <v>3961.61</v>
      </c>
      <c r="H872" s="2">
        <v>55462.54</v>
      </c>
      <c r="I872" s="2">
        <v>32766.73</v>
      </c>
      <c r="J872" s="2">
        <v>22695.81</v>
      </c>
      <c r="K872" s="3">
        <v>45863</v>
      </c>
      <c r="L872" s="3">
        <v>45872</v>
      </c>
      <c r="M872" s="2" t="s">
        <v>69</v>
      </c>
      <c r="N872" s="2">
        <v>5</v>
      </c>
      <c r="O872" s="2" t="s">
        <v>1395</v>
      </c>
      <c r="P872" s="25">
        <v>9</v>
      </c>
      <c r="Q872" t="str">
        <f t="shared" si="118"/>
        <v>0871</v>
      </c>
      <c r="R872" t="str">
        <f>IF('RETAIL SALES DATA.'!H872&gt;AVERAGE('RETAIL SALES DATA.'!H872:H1871),"HIGHEST VALUE","LOWEST VALUE")</f>
        <v>HIGHEST VALUE</v>
      </c>
      <c r="S872" t="str">
        <f t="shared" si="127"/>
        <v>Profit</v>
      </c>
      <c r="T872" t="str">
        <f t="shared" si="120"/>
        <v>Melissa Poole</v>
      </c>
      <c r="U872" t="str">
        <f t="shared" si="121"/>
        <v>Chair</v>
      </c>
      <c r="V872">
        <f t="shared" si="122"/>
        <v>2025</v>
      </c>
      <c r="W872">
        <f t="shared" si="123"/>
        <v>8</v>
      </c>
      <c r="X872">
        <f t="shared" si="124"/>
        <v>25</v>
      </c>
      <c r="Y872" t="str">
        <f t="shared" si="125"/>
        <v>Jul</v>
      </c>
      <c r="Z872">
        <f t="shared" si="126"/>
        <v>9</v>
      </c>
    </row>
    <row r="873" spans="1:26" ht="15.75" customHeight="1" x14ac:dyDescent="0.3">
      <c r="A873" s="2" t="s">
        <v>2019</v>
      </c>
      <c r="B873" s="2" t="s">
        <v>2020</v>
      </c>
      <c r="C873" s="2" t="s">
        <v>95</v>
      </c>
      <c r="D873" s="2" t="s">
        <v>19</v>
      </c>
      <c r="E873" s="2" t="s">
        <v>20</v>
      </c>
      <c r="F873" s="2">
        <v>13</v>
      </c>
      <c r="G873" s="2">
        <v>2076.7199999999998</v>
      </c>
      <c r="H873" s="2">
        <v>26997.360000000001</v>
      </c>
      <c r="I873" s="2">
        <v>13849.81</v>
      </c>
      <c r="J873" s="2">
        <v>13147.55</v>
      </c>
      <c r="K873" s="3">
        <v>45696</v>
      </c>
      <c r="L873" s="3">
        <v>45704</v>
      </c>
      <c r="M873" s="2" t="s">
        <v>33</v>
      </c>
      <c r="N873" s="2">
        <v>3</v>
      </c>
      <c r="O873" s="2" t="s">
        <v>486</v>
      </c>
      <c r="P873" s="25">
        <v>9.6999999999999993</v>
      </c>
      <c r="Q873" t="str">
        <f t="shared" si="118"/>
        <v>0872</v>
      </c>
      <c r="R873" t="str">
        <f>IF('RETAIL SALES DATA.'!H873&gt;AVERAGE('RETAIL SALES DATA.'!H873:H1872),"HIGHEST VALUE","LOWEST VALUE")</f>
        <v>LOWEST VALUE</v>
      </c>
      <c r="S873" t="str">
        <f t="shared" si="127"/>
        <v>Profit</v>
      </c>
      <c r="T873" t="str">
        <f t="shared" si="120"/>
        <v>Anthony Taylor</v>
      </c>
      <c r="U873" t="str">
        <f t="shared" si="121"/>
        <v>Printer</v>
      </c>
      <c r="V873">
        <f t="shared" si="122"/>
        <v>2025</v>
      </c>
      <c r="W873">
        <f t="shared" si="123"/>
        <v>2</v>
      </c>
      <c r="X873">
        <f t="shared" si="124"/>
        <v>8</v>
      </c>
      <c r="Y873" t="str">
        <f t="shared" si="125"/>
        <v>Feb</v>
      </c>
      <c r="Z873">
        <f t="shared" si="126"/>
        <v>8</v>
      </c>
    </row>
    <row r="874" spans="1:26" ht="15.75" customHeight="1" x14ac:dyDescent="0.3">
      <c r="A874" s="2" t="s">
        <v>2021</v>
      </c>
      <c r="B874" s="2" t="s">
        <v>278</v>
      </c>
      <c r="C874" s="2" t="s">
        <v>42</v>
      </c>
      <c r="D874" s="2" t="s">
        <v>43</v>
      </c>
      <c r="E874" s="2" t="s">
        <v>44</v>
      </c>
      <c r="F874" s="2">
        <v>15</v>
      </c>
      <c r="G874" s="2">
        <v>3741.84</v>
      </c>
      <c r="H874" s="2">
        <v>56127.6</v>
      </c>
      <c r="I874" s="2">
        <v>42627.45</v>
      </c>
      <c r="J874" s="2">
        <v>13500.15</v>
      </c>
      <c r="K874" s="3">
        <v>45484</v>
      </c>
      <c r="L874" s="3">
        <v>45489</v>
      </c>
      <c r="M874" s="2" t="s">
        <v>38</v>
      </c>
      <c r="N874" s="2">
        <v>4</v>
      </c>
      <c r="O874" s="2" t="s">
        <v>1370</v>
      </c>
      <c r="P874" s="25">
        <v>8</v>
      </c>
      <c r="Q874" t="str">
        <f t="shared" si="118"/>
        <v>0873</v>
      </c>
      <c r="R874" t="str">
        <f>IF('RETAIL SALES DATA.'!H874&gt;AVERAGE('RETAIL SALES DATA.'!H874:H1873),"HIGHEST VALUE","LOWEST VALUE")</f>
        <v>HIGHEST VALUE</v>
      </c>
      <c r="S874" t="str">
        <f t="shared" si="127"/>
        <v>Profit</v>
      </c>
      <c r="T874" t="str">
        <f t="shared" si="120"/>
        <v>Michael Rodriguez</v>
      </c>
      <c r="U874" t="str">
        <f t="shared" si="121"/>
        <v>Laptop</v>
      </c>
      <c r="V874">
        <f t="shared" si="122"/>
        <v>2024</v>
      </c>
      <c r="W874">
        <f t="shared" si="123"/>
        <v>7</v>
      </c>
      <c r="X874">
        <f t="shared" si="124"/>
        <v>11</v>
      </c>
      <c r="Y874" t="str">
        <f t="shared" si="125"/>
        <v>Jul</v>
      </c>
      <c r="Z874">
        <f t="shared" si="126"/>
        <v>5</v>
      </c>
    </row>
    <row r="875" spans="1:26" ht="15.75" customHeight="1" x14ac:dyDescent="0.3">
      <c r="A875" s="2" t="s">
        <v>2022</v>
      </c>
      <c r="B875" s="2" t="s">
        <v>374</v>
      </c>
      <c r="C875" s="2" t="s">
        <v>37</v>
      </c>
      <c r="D875" s="2" t="s">
        <v>19</v>
      </c>
      <c r="E875" s="2" t="s">
        <v>44</v>
      </c>
      <c r="F875" s="2">
        <v>18</v>
      </c>
      <c r="G875" s="2">
        <v>3058.49</v>
      </c>
      <c r="H875" s="2">
        <v>55052.82</v>
      </c>
      <c r="I875" s="2">
        <v>38039.54</v>
      </c>
      <c r="J875" s="2">
        <v>17013.28</v>
      </c>
      <c r="K875" s="3">
        <v>45775</v>
      </c>
      <c r="L875" s="3">
        <v>45779</v>
      </c>
      <c r="M875" s="2" t="s">
        <v>69</v>
      </c>
      <c r="N875" s="2">
        <v>1</v>
      </c>
      <c r="O875" s="2" t="s">
        <v>375</v>
      </c>
      <c r="P875" s="25">
        <v>9.3000000000000007</v>
      </c>
      <c r="Q875" t="str">
        <f t="shared" si="118"/>
        <v>0874</v>
      </c>
      <c r="R875" t="str">
        <f>IF('RETAIL SALES DATA.'!H875&gt;AVERAGE('RETAIL SALES DATA.'!H875:H1874),"HIGHEST VALUE","LOWEST VALUE")</f>
        <v>HIGHEST VALUE</v>
      </c>
      <c r="S875" t="str">
        <f t="shared" si="127"/>
        <v>Profit</v>
      </c>
      <c r="T875" t="str">
        <f t="shared" si="120"/>
        <v>Nicole Rodriguez</v>
      </c>
      <c r="U875" t="str">
        <f t="shared" si="121"/>
        <v>Marker</v>
      </c>
      <c r="V875">
        <f t="shared" si="122"/>
        <v>2025</v>
      </c>
      <c r="W875">
        <f t="shared" si="123"/>
        <v>5</v>
      </c>
      <c r="X875">
        <f t="shared" si="124"/>
        <v>28</v>
      </c>
      <c r="Y875" t="str">
        <f t="shared" si="125"/>
        <v>Apr</v>
      </c>
      <c r="Z875">
        <f t="shared" si="126"/>
        <v>4</v>
      </c>
    </row>
    <row r="876" spans="1:26" ht="15.75" customHeight="1" x14ac:dyDescent="0.3">
      <c r="A876" s="2" t="s">
        <v>2023</v>
      </c>
      <c r="B876" s="2" t="s">
        <v>2024</v>
      </c>
      <c r="C876" s="2" t="s">
        <v>144</v>
      </c>
      <c r="D876" s="2" t="s">
        <v>19</v>
      </c>
      <c r="E876" s="2" t="s">
        <v>25</v>
      </c>
      <c r="F876" s="2">
        <v>9</v>
      </c>
      <c r="G876" s="2">
        <v>1193.48</v>
      </c>
      <c r="H876" s="2">
        <v>10741.32</v>
      </c>
      <c r="I876" s="2">
        <v>5699.23</v>
      </c>
      <c r="J876" s="2">
        <v>5042.09</v>
      </c>
      <c r="K876" s="3">
        <v>45983</v>
      </c>
      <c r="L876" s="3">
        <v>45987</v>
      </c>
      <c r="M876" s="2" t="s">
        <v>181</v>
      </c>
      <c r="N876" s="2">
        <v>2</v>
      </c>
      <c r="O876" s="2" t="s">
        <v>538</v>
      </c>
      <c r="P876" s="25">
        <v>7.1</v>
      </c>
      <c r="Q876" t="str">
        <f t="shared" si="118"/>
        <v>0875</v>
      </c>
      <c r="R876" t="str">
        <f>IF('RETAIL SALES DATA.'!H876&gt;AVERAGE('RETAIL SALES DATA.'!H876:H1875),"HIGHEST VALUE","LOWEST VALUE")</f>
        <v>LOWEST VALUE</v>
      </c>
      <c r="S876" t="str">
        <f t="shared" si="127"/>
        <v>Profit</v>
      </c>
      <c r="T876" t="str">
        <f t="shared" si="120"/>
        <v>Donald Murray</v>
      </c>
      <c r="U876" t="str">
        <f t="shared" si="121"/>
        <v>File</v>
      </c>
      <c r="V876">
        <f t="shared" si="122"/>
        <v>2025</v>
      </c>
      <c r="W876">
        <f t="shared" si="123"/>
        <v>11</v>
      </c>
      <c r="X876">
        <f t="shared" si="124"/>
        <v>22</v>
      </c>
      <c r="Y876" t="str">
        <f t="shared" si="125"/>
        <v>Nov</v>
      </c>
      <c r="Z876">
        <f t="shared" si="126"/>
        <v>4</v>
      </c>
    </row>
    <row r="877" spans="1:26" ht="15.75" customHeight="1" x14ac:dyDescent="0.3">
      <c r="A877" s="2" t="s">
        <v>2025</v>
      </c>
      <c r="B877" s="2" t="s">
        <v>2026</v>
      </c>
      <c r="C877" s="2" t="s">
        <v>139</v>
      </c>
      <c r="D877" s="2" t="s">
        <v>31</v>
      </c>
      <c r="E877" s="2" t="s">
        <v>20</v>
      </c>
      <c r="F877" s="2">
        <v>4</v>
      </c>
      <c r="G877" s="2">
        <v>727.74</v>
      </c>
      <c r="H877" s="2">
        <v>2910.96</v>
      </c>
      <c r="I877" s="2">
        <v>1760.13</v>
      </c>
      <c r="J877" s="2">
        <v>1150.83</v>
      </c>
      <c r="K877" s="3">
        <v>45507</v>
      </c>
      <c r="L877" s="3">
        <v>45511</v>
      </c>
      <c r="M877" s="2" t="s">
        <v>58</v>
      </c>
      <c r="N877" s="2">
        <v>2</v>
      </c>
      <c r="O877" s="2" t="s">
        <v>1060</v>
      </c>
      <c r="P877" s="25">
        <v>9.9</v>
      </c>
      <c r="Q877" t="str">
        <f t="shared" si="118"/>
        <v>0876</v>
      </c>
      <c r="R877" t="str">
        <f>IF('RETAIL SALES DATA.'!H877&gt;AVERAGE('RETAIL SALES DATA.'!H877:H1876),"HIGHEST VALUE","LOWEST VALUE")</f>
        <v>LOWEST VALUE</v>
      </c>
      <c r="S877" t="str">
        <f t="shared" si="127"/>
        <v>Profit</v>
      </c>
      <c r="T877" t="str">
        <f t="shared" si="120"/>
        <v>Amanda Dickerson</v>
      </c>
      <c r="U877" t="str">
        <f t="shared" si="121"/>
        <v>Sofa</v>
      </c>
      <c r="V877">
        <f t="shared" si="122"/>
        <v>2024</v>
      </c>
      <c r="W877">
        <f t="shared" si="123"/>
        <v>8</v>
      </c>
      <c r="X877">
        <f t="shared" si="124"/>
        <v>3</v>
      </c>
      <c r="Y877" t="str">
        <f t="shared" si="125"/>
        <v>Aug</v>
      </c>
      <c r="Z877">
        <f t="shared" si="126"/>
        <v>4</v>
      </c>
    </row>
    <row r="878" spans="1:26" ht="15.75" customHeight="1" x14ac:dyDescent="0.3">
      <c r="A878" s="2" t="s">
        <v>2027</v>
      </c>
      <c r="B878" s="2" t="s">
        <v>2028</v>
      </c>
      <c r="C878" s="2" t="s">
        <v>195</v>
      </c>
      <c r="D878" s="2" t="s">
        <v>43</v>
      </c>
      <c r="E878" s="2" t="s">
        <v>20</v>
      </c>
      <c r="F878" s="2">
        <v>19</v>
      </c>
      <c r="G878" s="2">
        <v>2248.0500000000002</v>
      </c>
      <c r="H878" s="2">
        <v>42712.95</v>
      </c>
      <c r="I878" s="2">
        <v>26164.98</v>
      </c>
      <c r="J878" s="2">
        <v>16547.97</v>
      </c>
      <c r="K878" s="3">
        <v>45444</v>
      </c>
      <c r="L878" s="3">
        <v>45449</v>
      </c>
      <c r="M878" s="2" t="s">
        <v>69</v>
      </c>
      <c r="N878" s="2">
        <v>3</v>
      </c>
      <c r="O878" s="2" t="s">
        <v>202</v>
      </c>
      <c r="P878" s="25">
        <v>9.9</v>
      </c>
      <c r="Q878" t="str">
        <f t="shared" si="118"/>
        <v>0877</v>
      </c>
      <c r="R878" t="str">
        <f>IF('RETAIL SALES DATA.'!H878&gt;AVERAGE('RETAIL SALES DATA.'!H878:H1877),"HIGHEST VALUE","LOWEST VALUE")</f>
        <v>HIGHEST VALUE</v>
      </c>
      <c r="S878" t="str">
        <f t="shared" si="127"/>
        <v>Profit</v>
      </c>
      <c r="T878" t="str">
        <f t="shared" si="120"/>
        <v>Ronald Ramsey</v>
      </c>
      <c r="U878" t="str">
        <f t="shared" si="121"/>
        <v>Monitor</v>
      </c>
      <c r="V878">
        <f t="shared" si="122"/>
        <v>2024</v>
      </c>
      <c r="W878">
        <f t="shared" si="123"/>
        <v>6</v>
      </c>
      <c r="X878">
        <f t="shared" si="124"/>
        <v>1</v>
      </c>
      <c r="Y878" t="str">
        <f t="shared" si="125"/>
        <v>Jun</v>
      </c>
      <c r="Z878">
        <f t="shared" si="126"/>
        <v>5</v>
      </c>
    </row>
    <row r="879" spans="1:26" ht="15.75" customHeight="1" x14ac:dyDescent="0.3">
      <c r="A879" s="2" t="s">
        <v>2029</v>
      </c>
      <c r="B879" s="2" t="s">
        <v>2030</v>
      </c>
      <c r="C879" s="2" t="s">
        <v>144</v>
      </c>
      <c r="D879" s="2" t="s">
        <v>19</v>
      </c>
      <c r="E879" s="2" t="s">
        <v>25</v>
      </c>
      <c r="F879" s="2">
        <v>7</v>
      </c>
      <c r="G879" s="2">
        <v>311.02</v>
      </c>
      <c r="H879" s="2">
        <v>2177.14</v>
      </c>
      <c r="I879" s="2">
        <v>1944.82</v>
      </c>
      <c r="J879" s="2">
        <v>232.32</v>
      </c>
      <c r="K879" s="3">
        <v>45729</v>
      </c>
      <c r="L879" s="3">
        <v>45734</v>
      </c>
      <c r="M879" s="2" t="s">
        <v>33</v>
      </c>
      <c r="N879" s="2">
        <v>5</v>
      </c>
      <c r="O879" s="2" t="s">
        <v>362</v>
      </c>
      <c r="P879" s="25">
        <v>8.1</v>
      </c>
      <c r="Q879" t="str">
        <f t="shared" si="118"/>
        <v>0878</v>
      </c>
      <c r="R879" t="str">
        <f>IF('RETAIL SALES DATA.'!H879&gt;AVERAGE('RETAIL SALES DATA.'!H879:H1878),"HIGHEST VALUE","LOWEST VALUE")</f>
        <v>LOWEST VALUE</v>
      </c>
      <c r="S879" t="str">
        <f t="shared" si="127"/>
        <v>Profit</v>
      </c>
      <c r="T879" t="str">
        <f t="shared" si="120"/>
        <v>Anthony Wright</v>
      </c>
      <c r="U879" t="str">
        <f t="shared" si="121"/>
        <v>File</v>
      </c>
      <c r="V879">
        <f t="shared" si="122"/>
        <v>2025</v>
      </c>
      <c r="W879">
        <f t="shared" si="123"/>
        <v>3</v>
      </c>
      <c r="X879">
        <f t="shared" si="124"/>
        <v>13</v>
      </c>
      <c r="Y879" t="str">
        <f t="shared" si="125"/>
        <v>Mar</v>
      </c>
      <c r="Z879">
        <f t="shared" si="126"/>
        <v>5</v>
      </c>
    </row>
    <row r="880" spans="1:26" ht="15.75" customHeight="1" x14ac:dyDescent="0.3">
      <c r="A880" s="2" t="s">
        <v>2031</v>
      </c>
      <c r="B880" s="2" t="s">
        <v>2032</v>
      </c>
      <c r="C880" s="2" t="s">
        <v>95</v>
      </c>
      <c r="D880" s="2" t="s">
        <v>19</v>
      </c>
      <c r="E880" s="2" t="s">
        <v>20</v>
      </c>
      <c r="F880" s="2">
        <v>3</v>
      </c>
      <c r="G880" s="2">
        <v>4035.12</v>
      </c>
      <c r="H880" s="2">
        <v>12105.36</v>
      </c>
      <c r="I880" s="2">
        <v>6698.79</v>
      </c>
      <c r="J880" s="2">
        <v>5406.57</v>
      </c>
      <c r="K880" s="3">
        <v>46001</v>
      </c>
      <c r="L880" s="3">
        <v>46006</v>
      </c>
      <c r="M880" s="2" t="s">
        <v>38</v>
      </c>
      <c r="N880" s="2">
        <v>4</v>
      </c>
      <c r="O880" s="2" t="s">
        <v>746</v>
      </c>
      <c r="P880" s="25">
        <v>8.8000000000000007</v>
      </c>
      <c r="Q880" t="str">
        <f t="shared" si="118"/>
        <v>0879</v>
      </c>
      <c r="R880" t="str">
        <f>IF('RETAIL SALES DATA.'!H880&gt;AVERAGE('RETAIL SALES DATA.'!H880:H1879),"HIGHEST VALUE","LOWEST VALUE")</f>
        <v>LOWEST VALUE</v>
      </c>
      <c r="S880" t="str">
        <f t="shared" si="127"/>
        <v>Profit</v>
      </c>
      <c r="T880" t="str">
        <f t="shared" si="120"/>
        <v>Nicole Morris</v>
      </c>
      <c r="U880" t="str">
        <f t="shared" si="121"/>
        <v>Printer</v>
      </c>
      <c r="V880">
        <f t="shared" si="122"/>
        <v>2025</v>
      </c>
      <c r="W880">
        <f t="shared" si="123"/>
        <v>12</v>
      </c>
      <c r="X880">
        <f t="shared" si="124"/>
        <v>10</v>
      </c>
      <c r="Y880" t="str">
        <f t="shared" si="125"/>
        <v>Dec</v>
      </c>
      <c r="Z880">
        <f t="shared" si="126"/>
        <v>5</v>
      </c>
    </row>
    <row r="881" spans="1:26" ht="15.75" customHeight="1" x14ac:dyDescent="0.3">
      <c r="A881" s="2" t="s">
        <v>2033</v>
      </c>
      <c r="B881" s="2" t="s">
        <v>2034</v>
      </c>
      <c r="C881" s="2" t="s">
        <v>37</v>
      </c>
      <c r="D881" s="2" t="s">
        <v>19</v>
      </c>
      <c r="E881" s="2" t="s">
        <v>20</v>
      </c>
      <c r="F881" s="2">
        <v>17</v>
      </c>
      <c r="G881" s="2">
        <v>4572.7299999999996</v>
      </c>
      <c r="H881" s="2">
        <v>77736.41</v>
      </c>
      <c r="I881" s="2">
        <v>59761.38</v>
      </c>
      <c r="J881" s="2">
        <v>17975.03</v>
      </c>
      <c r="K881" s="3">
        <v>46033</v>
      </c>
      <c r="L881" s="3">
        <v>46043</v>
      </c>
      <c r="M881" s="2" t="s">
        <v>58</v>
      </c>
      <c r="N881" s="2">
        <v>3</v>
      </c>
      <c r="O881" s="2" t="s">
        <v>754</v>
      </c>
      <c r="P881" s="25">
        <v>9.5</v>
      </c>
      <c r="Q881" t="str">
        <f t="shared" si="118"/>
        <v>0880</v>
      </c>
      <c r="R881" t="str">
        <f>IF('RETAIL SALES DATA.'!H881&gt;AVERAGE('RETAIL SALES DATA.'!H881:H1880),"HIGHEST VALUE","LOWEST VALUE")</f>
        <v>HIGHEST VALUE</v>
      </c>
      <c r="S881" t="str">
        <f t="shared" si="127"/>
        <v>Profit</v>
      </c>
      <c r="T881" t="str">
        <f t="shared" si="120"/>
        <v>Derek Archer</v>
      </c>
      <c r="U881" t="str">
        <f t="shared" si="121"/>
        <v>Marker</v>
      </c>
      <c r="V881">
        <f t="shared" si="122"/>
        <v>2026</v>
      </c>
      <c r="W881">
        <f t="shared" si="123"/>
        <v>1</v>
      </c>
      <c r="X881">
        <f t="shared" si="124"/>
        <v>11</v>
      </c>
      <c r="Y881" t="str">
        <f t="shared" si="125"/>
        <v>Jan</v>
      </c>
      <c r="Z881">
        <f t="shared" si="126"/>
        <v>10</v>
      </c>
    </row>
    <row r="882" spans="1:26" ht="15.75" customHeight="1" x14ac:dyDescent="0.3">
      <c r="A882" s="2" t="s">
        <v>2035</v>
      </c>
      <c r="B882" s="2" t="s">
        <v>2036</v>
      </c>
      <c r="C882" s="2" t="s">
        <v>144</v>
      </c>
      <c r="D882" s="2" t="s">
        <v>19</v>
      </c>
      <c r="E882" s="2" t="s">
        <v>44</v>
      </c>
      <c r="F882" s="2">
        <v>20</v>
      </c>
      <c r="G882" s="2">
        <v>80.09</v>
      </c>
      <c r="H882" s="2">
        <v>1601.8</v>
      </c>
      <c r="I882" s="2">
        <v>999.19</v>
      </c>
      <c r="J882" s="2">
        <v>602.61</v>
      </c>
      <c r="K882" s="3">
        <v>45613</v>
      </c>
      <c r="L882" s="3">
        <v>45616</v>
      </c>
      <c r="M882" s="2" t="s">
        <v>33</v>
      </c>
      <c r="N882" s="2">
        <v>1</v>
      </c>
      <c r="O882" s="2" t="s">
        <v>610</v>
      </c>
      <c r="P882" s="25">
        <v>7</v>
      </c>
      <c r="Q882" t="str">
        <f t="shared" si="118"/>
        <v>0881</v>
      </c>
      <c r="R882" t="str">
        <f>IF('RETAIL SALES DATA.'!H882&gt;AVERAGE('RETAIL SALES DATA.'!H882:H1881),"HIGHEST VALUE","LOWEST VALUE")</f>
        <v>LOWEST VALUE</v>
      </c>
      <c r="S882" t="str">
        <f t="shared" si="127"/>
        <v>Profit</v>
      </c>
      <c r="T882" t="str">
        <f t="shared" si="120"/>
        <v>Joseph Johnson</v>
      </c>
      <c r="U882" t="str">
        <f t="shared" si="121"/>
        <v>File</v>
      </c>
      <c r="V882">
        <f t="shared" si="122"/>
        <v>2024</v>
      </c>
      <c r="W882">
        <f t="shared" si="123"/>
        <v>11</v>
      </c>
      <c r="X882">
        <f t="shared" si="124"/>
        <v>17</v>
      </c>
      <c r="Y882" t="str">
        <f t="shared" si="125"/>
        <v>Nov</v>
      </c>
      <c r="Z882">
        <f t="shared" si="126"/>
        <v>3</v>
      </c>
    </row>
    <row r="883" spans="1:26" ht="15.75" customHeight="1" x14ac:dyDescent="0.3">
      <c r="A883" s="2" t="s">
        <v>2037</v>
      </c>
      <c r="B883" s="2" t="s">
        <v>2038</v>
      </c>
      <c r="C883" s="2" t="s">
        <v>219</v>
      </c>
      <c r="D883" s="2" t="s">
        <v>43</v>
      </c>
      <c r="E883" s="2" t="s">
        <v>20</v>
      </c>
      <c r="F883" s="2">
        <v>6</v>
      </c>
      <c r="G883" s="2">
        <v>1652.42</v>
      </c>
      <c r="H883" s="2">
        <v>9914.52</v>
      </c>
      <c r="I883" s="2">
        <v>8502.42</v>
      </c>
      <c r="J883" s="2">
        <v>1412.1</v>
      </c>
      <c r="K883" s="3">
        <v>45892</v>
      </c>
      <c r="L883" s="3">
        <v>45894</v>
      </c>
      <c r="M883" s="2" t="s">
        <v>21</v>
      </c>
      <c r="N883" s="2">
        <v>2</v>
      </c>
      <c r="O883" s="2" t="s">
        <v>92</v>
      </c>
      <c r="P883" s="25">
        <v>8.6999999999999993</v>
      </c>
      <c r="Q883" t="str">
        <f t="shared" si="118"/>
        <v>0882</v>
      </c>
      <c r="R883" t="str">
        <f>IF('RETAIL SALES DATA.'!H883&gt;AVERAGE('RETAIL SALES DATA.'!H883:H1882),"HIGHEST VALUE","LOWEST VALUE")</f>
        <v>LOWEST VALUE</v>
      </c>
      <c r="S883" t="str">
        <f t="shared" si="127"/>
        <v>Profit</v>
      </c>
      <c r="T883" t="str">
        <f t="shared" si="120"/>
        <v>Robert Joyce</v>
      </c>
      <c r="U883" t="str">
        <f t="shared" si="121"/>
        <v>Smartphone</v>
      </c>
      <c r="V883">
        <f t="shared" si="122"/>
        <v>2025</v>
      </c>
      <c r="W883">
        <f t="shared" si="123"/>
        <v>8</v>
      </c>
      <c r="X883">
        <f t="shared" si="124"/>
        <v>23</v>
      </c>
      <c r="Y883" t="str">
        <f t="shared" si="125"/>
        <v>Aug</v>
      </c>
      <c r="Z883">
        <f t="shared" si="126"/>
        <v>2</v>
      </c>
    </row>
    <row r="884" spans="1:26" ht="15.75" customHeight="1" x14ac:dyDescent="0.3">
      <c r="A884" s="2" t="s">
        <v>2039</v>
      </c>
      <c r="B884" s="2" t="s">
        <v>2040</v>
      </c>
      <c r="C884" s="2" t="s">
        <v>168</v>
      </c>
      <c r="D884" s="2" t="s">
        <v>43</v>
      </c>
      <c r="E884" s="2" t="s">
        <v>20</v>
      </c>
      <c r="F884" s="2">
        <v>5</v>
      </c>
      <c r="G884" s="2">
        <v>2751.04</v>
      </c>
      <c r="H884" s="2">
        <v>13755.2</v>
      </c>
      <c r="I884" s="2">
        <v>10756.35</v>
      </c>
      <c r="J884" s="2">
        <v>2998.85</v>
      </c>
      <c r="K884" s="3">
        <v>45774</v>
      </c>
      <c r="L884" s="3">
        <v>45777</v>
      </c>
      <c r="M884" s="2" t="s">
        <v>50</v>
      </c>
      <c r="N884" s="2">
        <v>2</v>
      </c>
      <c r="O884" s="2" t="s">
        <v>1395</v>
      </c>
      <c r="P884" s="25">
        <v>6.7</v>
      </c>
      <c r="Q884" t="str">
        <f t="shared" si="118"/>
        <v>0883</v>
      </c>
      <c r="R884" t="str">
        <f>IF('RETAIL SALES DATA.'!H884&gt;AVERAGE('RETAIL SALES DATA.'!H884:H1883),"HIGHEST VALUE","LOWEST VALUE")</f>
        <v>LOWEST VALUE</v>
      </c>
      <c r="S884" t="str">
        <f t="shared" si="127"/>
        <v>Profit</v>
      </c>
      <c r="T884" t="str">
        <f t="shared" si="120"/>
        <v>Amy Cochran</v>
      </c>
      <c r="U884" t="str">
        <f t="shared" si="121"/>
        <v>Keyboard</v>
      </c>
      <c r="V884">
        <f t="shared" si="122"/>
        <v>2025</v>
      </c>
      <c r="W884">
        <f t="shared" si="123"/>
        <v>4</v>
      </c>
      <c r="X884">
        <f t="shared" si="124"/>
        <v>27</v>
      </c>
      <c r="Y884" t="str">
        <f t="shared" si="125"/>
        <v>Apr</v>
      </c>
      <c r="Z884">
        <f t="shared" si="126"/>
        <v>3</v>
      </c>
    </row>
    <row r="885" spans="1:26" ht="15.75" customHeight="1" x14ac:dyDescent="0.3">
      <c r="A885" s="2" t="s">
        <v>2041</v>
      </c>
      <c r="B885" s="2" t="s">
        <v>2042</v>
      </c>
      <c r="C885" s="2" t="s">
        <v>57</v>
      </c>
      <c r="D885" s="2" t="s">
        <v>19</v>
      </c>
      <c r="E885" s="2" t="s">
        <v>32</v>
      </c>
      <c r="F885" s="2">
        <v>19</v>
      </c>
      <c r="G885" s="2">
        <v>485.66</v>
      </c>
      <c r="H885" s="2">
        <v>9227.5400000000009</v>
      </c>
      <c r="I885" s="2">
        <v>7237.29</v>
      </c>
      <c r="J885" s="2">
        <v>1990.25</v>
      </c>
      <c r="K885" s="3">
        <v>45577</v>
      </c>
      <c r="L885" s="3">
        <v>45578</v>
      </c>
      <c r="M885" s="2" t="s">
        <v>45</v>
      </c>
      <c r="N885" s="2">
        <v>1</v>
      </c>
      <c r="O885" s="2" t="s">
        <v>515</v>
      </c>
      <c r="P885" s="25">
        <v>9</v>
      </c>
      <c r="Q885" t="str">
        <f t="shared" si="118"/>
        <v>0884</v>
      </c>
      <c r="R885" t="str">
        <f>IF('RETAIL SALES DATA.'!H885&gt;AVERAGE('RETAIL SALES DATA.'!H885:H1884),"HIGHEST VALUE","LOWEST VALUE")</f>
        <v>LOWEST VALUE</v>
      </c>
      <c r="S885" t="str">
        <f t="shared" si="127"/>
        <v>Profit</v>
      </c>
      <c r="T885" t="str">
        <f t="shared" si="120"/>
        <v>Michael Hayes</v>
      </c>
      <c r="U885" t="str">
        <f t="shared" si="121"/>
        <v>Notebook</v>
      </c>
      <c r="V885">
        <f t="shared" si="122"/>
        <v>2024</v>
      </c>
      <c r="W885">
        <f t="shared" si="123"/>
        <v>10</v>
      </c>
      <c r="X885">
        <f t="shared" si="124"/>
        <v>12</v>
      </c>
      <c r="Y885" t="str">
        <f t="shared" si="125"/>
        <v>Oct</v>
      </c>
      <c r="Z885">
        <f t="shared" si="126"/>
        <v>1</v>
      </c>
    </row>
    <row r="886" spans="1:26" ht="15.75" customHeight="1" x14ac:dyDescent="0.3">
      <c r="A886" s="2" t="s">
        <v>2043</v>
      </c>
      <c r="B886" s="2" t="s">
        <v>2044</v>
      </c>
      <c r="C886" s="2" t="s">
        <v>37</v>
      </c>
      <c r="D886" s="2" t="s">
        <v>19</v>
      </c>
      <c r="E886" s="2" t="s">
        <v>32</v>
      </c>
      <c r="F886" s="2">
        <v>8</v>
      </c>
      <c r="G886" s="2">
        <v>2810.75</v>
      </c>
      <c r="H886" s="2">
        <v>22486</v>
      </c>
      <c r="I886" s="2">
        <v>14981.36</v>
      </c>
      <c r="J886" s="2">
        <v>7504.64</v>
      </c>
      <c r="K886" s="3">
        <v>46069</v>
      </c>
      <c r="L886" s="3">
        <v>46075</v>
      </c>
      <c r="M886" s="2" t="s">
        <v>50</v>
      </c>
      <c r="N886" s="2">
        <v>1</v>
      </c>
      <c r="O886" s="2" t="s">
        <v>446</v>
      </c>
      <c r="P886" s="25">
        <v>8.3000000000000007</v>
      </c>
      <c r="Q886" t="str">
        <f t="shared" si="118"/>
        <v>0885</v>
      </c>
      <c r="R886" t="str">
        <f>IF('RETAIL SALES DATA.'!H886&gt;AVERAGE('RETAIL SALES DATA.'!H886:H1885),"HIGHEST VALUE","LOWEST VALUE")</f>
        <v>LOWEST VALUE</v>
      </c>
      <c r="S886" t="str">
        <f t="shared" si="127"/>
        <v>Profit</v>
      </c>
      <c r="T886" t="str">
        <f t="shared" si="120"/>
        <v>Erin Larson</v>
      </c>
      <c r="U886" t="str">
        <f t="shared" si="121"/>
        <v>Marker</v>
      </c>
      <c r="V886">
        <f t="shared" si="122"/>
        <v>2026</v>
      </c>
      <c r="W886">
        <f t="shared" si="123"/>
        <v>2</v>
      </c>
      <c r="X886">
        <f t="shared" si="124"/>
        <v>16</v>
      </c>
      <c r="Y886" t="str">
        <f t="shared" si="125"/>
        <v>Feb</v>
      </c>
      <c r="Z886">
        <f t="shared" si="126"/>
        <v>6</v>
      </c>
    </row>
    <row r="887" spans="1:26" ht="15.75" customHeight="1" x14ac:dyDescent="0.3">
      <c r="A887" s="2" t="s">
        <v>2045</v>
      </c>
      <c r="B887" s="2" t="s">
        <v>2046</v>
      </c>
      <c r="C887" s="2" t="s">
        <v>144</v>
      </c>
      <c r="D887" s="2" t="s">
        <v>19</v>
      </c>
      <c r="E887" s="2" t="s">
        <v>32</v>
      </c>
      <c r="F887" s="2">
        <v>15</v>
      </c>
      <c r="G887" s="2">
        <v>1295.8</v>
      </c>
      <c r="H887" s="2">
        <v>19437</v>
      </c>
      <c r="I887" s="2">
        <v>12873.28</v>
      </c>
      <c r="J887" s="2">
        <v>6563.72</v>
      </c>
      <c r="K887" s="3">
        <v>45709</v>
      </c>
      <c r="L887" s="3">
        <v>45712</v>
      </c>
      <c r="M887" s="2" t="s">
        <v>21</v>
      </c>
      <c r="N887" s="2">
        <v>4</v>
      </c>
      <c r="O887" s="2" t="s">
        <v>888</v>
      </c>
      <c r="P887" s="25">
        <v>8</v>
      </c>
      <c r="Q887" t="str">
        <f t="shared" si="118"/>
        <v>0886</v>
      </c>
      <c r="R887" t="str">
        <f>IF('RETAIL SALES DATA.'!H887&gt;AVERAGE('RETAIL SALES DATA.'!H887:H1886),"HIGHEST VALUE","LOWEST VALUE")</f>
        <v>LOWEST VALUE</v>
      </c>
      <c r="S887" t="str">
        <f t="shared" si="127"/>
        <v>Profit</v>
      </c>
      <c r="T887" t="str">
        <f t="shared" si="120"/>
        <v>Billy Smith</v>
      </c>
      <c r="U887" t="str">
        <f t="shared" si="121"/>
        <v>File</v>
      </c>
      <c r="V887">
        <f t="shared" si="122"/>
        <v>2025</v>
      </c>
      <c r="W887">
        <f t="shared" si="123"/>
        <v>2</v>
      </c>
      <c r="X887">
        <f t="shared" si="124"/>
        <v>21</v>
      </c>
      <c r="Y887" t="str">
        <f t="shared" si="125"/>
        <v>Feb</v>
      </c>
      <c r="Z887">
        <f t="shared" si="126"/>
        <v>3</v>
      </c>
    </row>
    <row r="888" spans="1:26" ht="15.75" customHeight="1" x14ac:dyDescent="0.3">
      <c r="A888" s="2" t="s">
        <v>2047</v>
      </c>
      <c r="B888" s="2" t="s">
        <v>2048</v>
      </c>
      <c r="C888" s="2" t="s">
        <v>219</v>
      </c>
      <c r="D888" s="2" t="s">
        <v>43</v>
      </c>
      <c r="E888" s="2" t="s">
        <v>32</v>
      </c>
      <c r="F888" s="2">
        <v>10</v>
      </c>
      <c r="G888" s="2">
        <v>2230.08</v>
      </c>
      <c r="H888" s="2">
        <v>22300.799999999999</v>
      </c>
      <c r="I888" s="2">
        <v>12487.15</v>
      </c>
      <c r="J888" s="2">
        <v>9813.65</v>
      </c>
      <c r="K888" s="3">
        <v>46037</v>
      </c>
      <c r="L888" s="3">
        <v>46041</v>
      </c>
      <c r="M888" s="2" t="s">
        <v>21</v>
      </c>
      <c r="N888" s="2">
        <v>1</v>
      </c>
      <c r="O888" s="2" t="s">
        <v>551</v>
      </c>
      <c r="P888" s="25">
        <v>7.4</v>
      </c>
      <c r="Q888" t="str">
        <f t="shared" si="118"/>
        <v>0887</v>
      </c>
      <c r="R888" t="str">
        <f>IF('RETAIL SALES DATA.'!H888&gt;AVERAGE('RETAIL SALES DATA.'!H888:H1887),"HIGHEST VALUE","LOWEST VALUE")</f>
        <v>LOWEST VALUE</v>
      </c>
      <c r="S888" t="str">
        <f t="shared" si="127"/>
        <v>Profit</v>
      </c>
      <c r="T888" t="str">
        <f t="shared" si="120"/>
        <v>Savannah Warner</v>
      </c>
      <c r="U888" t="str">
        <f t="shared" si="121"/>
        <v>Smartphone</v>
      </c>
      <c r="V888">
        <f t="shared" si="122"/>
        <v>2026</v>
      </c>
      <c r="W888">
        <f t="shared" si="123"/>
        <v>1</v>
      </c>
      <c r="X888">
        <f t="shared" si="124"/>
        <v>15</v>
      </c>
      <c r="Y888" t="str">
        <f t="shared" si="125"/>
        <v>Jan</v>
      </c>
      <c r="Z888">
        <f t="shared" si="126"/>
        <v>4</v>
      </c>
    </row>
    <row r="889" spans="1:26" ht="15.75" customHeight="1" x14ac:dyDescent="0.3">
      <c r="A889" s="2" t="s">
        <v>2049</v>
      </c>
      <c r="B889" s="2" t="s">
        <v>2050</v>
      </c>
      <c r="C889" s="2" t="s">
        <v>62</v>
      </c>
      <c r="D889" s="2" t="s">
        <v>31</v>
      </c>
      <c r="E889" s="2" t="s">
        <v>32</v>
      </c>
      <c r="F889" s="2">
        <v>4</v>
      </c>
      <c r="G889" s="2">
        <v>2283.14</v>
      </c>
      <c r="H889" s="2">
        <v>9132.56</v>
      </c>
      <c r="I889" s="2">
        <v>6094.79</v>
      </c>
      <c r="J889" s="2">
        <v>3037.77</v>
      </c>
      <c r="K889" s="3">
        <v>46023</v>
      </c>
      <c r="L889" s="3">
        <v>46028</v>
      </c>
      <c r="M889" s="2" t="s">
        <v>26</v>
      </c>
      <c r="N889" s="2">
        <v>5</v>
      </c>
      <c r="O889" s="2" t="s">
        <v>828</v>
      </c>
      <c r="P889" s="25">
        <v>9.6999999999999993</v>
      </c>
      <c r="Q889" t="str">
        <f t="shared" si="118"/>
        <v>0888</v>
      </c>
      <c r="R889" t="str">
        <f>IF('RETAIL SALES DATA.'!H889&gt;AVERAGE('RETAIL SALES DATA.'!H889:H1888),"HIGHEST VALUE","LOWEST VALUE")</f>
        <v>LOWEST VALUE</v>
      </c>
      <c r="S889" t="str">
        <f t="shared" si="127"/>
        <v>Profit</v>
      </c>
      <c r="T889" t="str">
        <f t="shared" si="120"/>
        <v>Christina Le</v>
      </c>
      <c r="U889" t="str">
        <f t="shared" si="121"/>
        <v>Table</v>
      </c>
      <c r="V889">
        <f t="shared" si="122"/>
        <v>2026</v>
      </c>
      <c r="W889">
        <f t="shared" si="123"/>
        <v>1</v>
      </c>
      <c r="X889">
        <f t="shared" si="124"/>
        <v>1</v>
      </c>
      <c r="Y889" t="str">
        <f t="shared" si="125"/>
        <v>Jan</v>
      </c>
      <c r="Z889">
        <f t="shared" si="126"/>
        <v>5</v>
      </c>
    </row>
    <row r="890" spans="1:26" ht="15.75" customHeight="1" x14ac:dyDescent="0.3">
      <c r="A890" s="2" t="s">
        <v>2051</v>
      </c>
      <c r="B890" s="2" t="s">
        <v>2052</v>
      </c>
      <c r="C890" s="2" t="s">
        <v>195</v>
      </c>
      <c r="D890" s="2" t="s">
        <v>43</v>
      </c>
      <c r="E890" s="2" t="s">
        <v>20</v>
      </c>
      <c r="F890" s="2">
        <v>5</v>
      </c>
      <c r="G890" s="2">
        <v>2197.2399999999998</v>
      </c>
      <c r="H890" s="2">
        <v>10986.2</v>
      </c>
      <c r="I890" s="2">
        <v>7780.3</v>
      </c>
      <c r="J890" s="2">
        <v>3205.9</v>
      </c>
      <c r="K890" s="3">
        <v>45974</v>
      </c>
      <c r="L890" s="3">
        <v>45982</v>
      </c>
      <c r="M890" s="2" t="s">
        <v>181</v>
      </c>
      <c r="N890" s="2">
        <v>5</v>
      </c>
      <c r="O890" s="2" t="s">
        <v>226</v>
      </c>
      <c r="P890" s="25">
        <v>6.6</v>
      </c>
      <c r="Q890" t="str">
        <f t="shared" si="118"/>
        <v>0889</v>
      </c>
      <c r="R890" t="str">
        <f>IF('RETAIL SALES DATA.'!H890&gt;AVERAGE('RETAIL SALES DATA.'!H890:H1889),"HIGHEST VALUE","LOWEST VALUE")</f>
        <v>LOWEST VALUE</v>
      </c>
      <c r="S890" t="str">
        <f t="shared" si="127"/>
        <v>Profit</v>
      </c>
      <c r="T890" t="str">
        <f t="shared" si="120"/>
        <v>Kyle Mcgee</v>
      </c>
      <c r="U890" t="str">
        <f t="shared" si="121"/>
        <v>Monitor</v>
      </c>
      <c r="V890">
        <f t="shared" si="122"/>
        <v>2025</v>
      </c>
      <c r="W890">
        <f t="shared" si="123"/>
        <v>11</v>
      </c>
      <c r="X890">
        <f t="shared" si="124"/>
        <v>13</v>
      </c>
      <c r="Y890" t="str">
        <f t="shared" si="125"/>
        <v>Nov</v>
      </c>
      <c r="Z890">
        <f t="shared" si="126"/>
        <v>8</v>
      </c>
    </row>
    <row r="891" spans="1:26" ht="15.75" customHeight="1" x14ac:dyDescent="0.3">
      <c r="A891" s="2" t="s">
        <v>2053</v>
      </c>
      <c r="B891" s="2" t="s">
        <v>2054</v>
      </c>
      <c r="C891" s="2" t="s">
        <v>139</v>
      </c>
      <c r="D891" s="2" t="s">
        <v>31</v>
      </c>
      <c r="E891" s="2" t="s">
        <v>20</v>
      </c>
      <c r="F891" s="2">
        <v>7</v>
      </c>
      <c r="G891" s="2">
        <v>4042.94</v>
      </c>
      <c r="H891" s="2">
        <v>28300.58</v>
      </c>
      <c r="I891" s="2">
        <v>25214.95</v>
      </c>
      <c r="J891" s="2">
        <v>3085.63</v>
      </c>
      <c r="K891" s="3">
        <v>45535</v>
      </c>
      <c r="L891" s="3">
        <v>45538</v>
      </c>
      <c r="M891" s="2" t="s">
        <v>21</v>
      </c>
      <c r="N891" s="2">
        <v>3</v>
      </c>
      <c r="O891" s="2" t="s">
        <v>159</v>
      </c>
      <c r="P891" s="25">
        <v>8.3000000000000007</v>
      </c>
      <c r="Q891" t="str">
        <f t="shared" si="118"/>
        <v>0890</v>
      </c>
      <c r="R891" t="str">
        <f>IF('RETAIL SALES DATA.'!H891&gt;AVERAGE('RETAIL SALES DATA.'!H891:H1890),"HIGHEST VALUE","LOWEST VALUE")</f>
        <v>LOWEST VALUE</v>
      </c>
      <c r="S891" t="str">
        <f t="shared" si="127"/>
        <v>Profit</v>
      </c>
      <c r="T891" t="str">
        <f t="shared" si="120"/>
        <v>Tyler Kaufman</v>
      </c>
      <c r="U891" t="str">
        <f t="shared" si="121"/>
        <v>Sofa</v>
      </c>
      <c r="V891">
        <f t="shared" si="122"/>
        <v>2024</v>
      </c>
      <c r="W891">
        <f t="shared" si="123"/>
        <v>9</v>
      </c>
      <c r="X891">
        <f t="shared" si="124"/>
        <v>31</v>
      </c>
      <c r="Y891" t="str">
        <f t="shared" si="125"/>
        <v>Aug</v>
      </c>
      <c r="Z891">
        <f t="shared" si="126"/>
        <v>3</v>
      </c>
    </row>
    <row r="892" spans="1:26" ht="15.75" customHeight="1" x14ac:dyDescent="0.3">
      <c r="A892" s="2" t="s">
        <v>2055</v>
      </c>
      <c r="B892" s="2" t="s">
        <v>2056</v>
      </c>
      <c r="C892" s="2" t="s">
        <v>18</v>
      </c>
      <c r="D892" s="2" t="s">
        <v>19</v>
      </c>
      <c r="E892" s="2" t="s">
        <v>20</v>
      </c>
      <c r="F892" s="2">
        <v>8</v>
      </c>
      <c r="G892" s="2">
        <v>3608.79</v>
      </c>
      <c r="H892" s="2">
        <v>28870.32</v>
      </c>
      <c r="I892" s="2">
        <v>18802.98</v>
      </c>
      <c r="J892" s="2">
        <v>10067.34</v>
      </c>
      <c r="K892" s="3">
        <v>45482</v>
      </c>
      <c r="L892" s="3">
        <v>45485</v>
      </c>
      <c r="M892" s="2" t="s">
        <v>45</v>
      </c>
      <c r="N892" s="2">
        <v>3</v>
      </c>
      <c r="O892" s="2" t="s">
        <v>692</v>
      </c>
      <c r="P892" s="25">
        <v>6.1</v>
      </c>
      <c r="Q892" t="str">
        <f t="shared" si="118"/>
        <v>0891</v>
      </c>
      <c r="R892" t="str">
        <f>IF('RETAIL SALES DATA.'!H892&gt;AVERAGE('RETAIL SALES DATA.'!H892:H1891),"HIGHEST VALUE","LOWEST VALUE")</f>
        <v>LOWEST VALUE</v>
      </c>
      <c r="S892" t="str">
        <f t="shared" si="127"/>
        <v>Profit</v>
      </c>
      <c r="T892" t="str">
        <f t="shared" si="120"/>
        <v>Daniel Lewis</v>
      </c>
      <c r="U892" t="str">
        <f t="shared" si="121"/>
        <v>Pen</v>
      </c>
      <c r="V892">
        <f t="shared" si="122"/>
        <v>2024</v>
      </c>
      <c r="W892">
        <f t="shared" si="123"/>
        <v>7</v>
      </c>
      <c r="X892">
        <f t="shared" si="124"/>
        <v>9</v>
      </c>
      <c r="Y892" t="str">
        <f t="shared" si="125"/>
        <v>Jul</v>
      </c>
      <c r="Z892">
        <f t="shared" si="126"/>
        <v>3</v>
      </c>
    </row>
    <row r="893" spans="1:26" ht="15.75" customHeight="1" x14ac:dyDescent="0.3">
      <c r="A893" s="2" t="s">
        <v>2057</v>
      </c>
      <c r="B893" s="2" t="s">
        <v>2058</v>
      </c>
      <c r="C893" s="2" t="s">
        <v>72</v>
      </c>
      <c r="D893" s="2" t="s">
        <v>31</v>
      </c>
      <c r="E893" s="2" t="s">
        <v>32</v>
      </c>
      <c r="F893" s="2">
        <v>5</v>
      </c>
      <c r="G893" s="2">
        <v>2821</v>
      </c>
      <c r="H893" s="2">
        <v>14105</v>
      </c>
      <c r="I893" s="2">
        <v>8958.56</v>
      </c>
      <c r="J893" s="2">
        <v>5146.4399999999996</v>
      </c>
      <c r="K893" s="3">
        <v>45603</v>
      </c>
      <c r="L893" s="3">
        <v>45612</v>
      </c>
      <c r="M893" s="2" t="s">
        <v>21</v>
      </c>
      <c r="N893" s="2">
        <v>3</v>
      </c>
      <c r="O893" s="2" t="s">
        <v>470</v>
      </c>
      <c r="P893" s="25">
        <v>7.7</v>
      </c>
      <c r="Q893" t="str">
        <f t="shared" si="118"/>
        <v>0892</v>
      </c>
      <c r="R893" t="str">
        <f>IF('RETAIL SALES DATA.'!H893&gt;AVERAGE('RETAIL SALES DATA.'!H893:H1892),"HIGHEST VALUE","LOWEST VALUE")</f>
        <v>LOWEST VALUE</v>
      </c>
      <c r="S893" t="str">
        <f t="shared" si="127"/>
        <v>Profit</v>
      </c>
      <c r="T893" t="str">
        <f t="shared" si="120"/>
        <v>Kristy Mitchell</v>
      </c>
      <c r="U893" t="str">
        <f t="shared" si="121"/>
        <v>Chair</v>
      </c>
      <c r="V893">
        <f t="shared" si="122"/>
        <v>2024</v>
      </c>
      <c r="W893">
        <f t="shared" si="123"/>
        <v>11</v>
      </c>
      <c r="X893">
        <f t="shared" si="124"/>
        <v>7</v>
      </c>
      <c r="Y893" t="str">
        <f t="shared" si="125"/>
        <v>Nov</v>
      </c>
      <c r="Z893">
        <f t="shared" si="126"/>
        <v>9</v>
      </c>
    </row>
    <row r="894" spans="1:26" ht="15.75" customHeight="1" x14ac:dyDescent="0.3">
      <c r="A894" s="2" t="s">
        <v>2059</v>
      </c>
      <c r="B894" s="2" t="s">
        <v>2060</v>
      </c>
      <c r="C894" s="2" t="s">
        <v>49</v>
      </c>
      <c r="D894" s="2" t="s">
        <v>43</v>
      </c>
      <c r="E894" s="2" t="s">
        <v>44</v>
      </c>
      <c r="F894" s="2">
        <v>10</v>
      </c>
      <c r="G894" s="2">
        <v>1512.4</v>
      </c>
      <c r="H894" s="2">
        <v>15124</v>
      </c>
      <c r="I894" s="2">
        <v>9434.61</v>
      </c>
      <c r="J894" s="2">
        <v>5689.39</v>
      </c>
      <c r="K894" s="3">
        <v>45732</v>
      </c>
      <c r="L894" s="3">
        <v>45736</v>
      </c>
      <c r="M894" s="2" t="s">
        <v>33</v>
      </c>
      <c r="N894" s="2">
        <v>2</v>
      </c>
      <c r="O894" s="2" t="s">
        <v>651</v>
      </c>
      <c r="P894" s="25">
        <v>8.9</v>
      </c>
      <c r="Q894" t="str">
        <f t="shared" si="118"/>
        <v>0893</v>
      </c>
      <c r="R894" t="str">
        <f>IF('RETAIL SALES DATA.'!H894&gt;AVERAGE('RETAIL SALES DATA.'!H894:H1893),"HIGHEST VALUE","LOWEST VALUE")</f>
        <v>LOWEST VALUE</v>
      </c>
      <c r="S894" t="str">
        <f t="shared" si="127"/>
        <v>Profit</v>
      </c>
      <c r="T894" t="str">
        <f t="shared" si="120"/>
        <v>Christopher Alexander</v>
      </c>
      <c r="U894" t="str">
        <f t="shared" si="121"/>
        <v>Mouse</v>
      </c>
      <c r="V894">
        <f t="shared" si="122"/>
        <v>2025</v>
      </c>
      <c r="W894">
        <f t="shared" si="123"/>
        <v>3</v>
      </c>
      <c r="X894">
        <f t="shared" si="124"/>
        <v>16</v>
      </c>
      <c r="Y894" t="str">
        <f t="shared" si="125"/>
        <v>Mar</v>
      </c>
      <c r="Z894">
        <f t="shared" si="126"/>
        <v>4</v>
      </c>
    </row>
    <row r="895" spans="1:26" ht="15.75" customHeight="1" x14ac:dyDescent="0.3">
      <c r="A895" s="2" t="s">
        <v>2061</v>
      </c>
      <c r="B895" s="2" t="s">
        <v>2062</v>
      </c>
      <c r="C895" s="2" t="s">
        <v>95</v>
      </c>
      <c r="D895" s="2" t="s">
        <v>19</v>
      </c>
      <c r="E895" s="2" t="s">
        <v>32</v>
      </c>
      <c r="F895" s="2">
        <v>13</v>
      </c>
      <c r="G895" s="2">
        <v>4867.68</v>
      </c>
      <c r="H895" s="2">
        <v>63279.839999999997</v>
      </c>
      <c r="I895" s="2">
        <v>40189.910000000003</v>
      </c>
      <c r="J895" s="2">
        <v>23089.93</v>
      </c>
      <c r="K895" s="3">
        <v>46014</v>
      </c>
      <c r="L895" s="3">
        <v>46022</v>
      </c>
      <c r="M895" s="2" t="s">
        <v>45</v>
      </c>
      <c r="N895" s="2">
        <v>5</v>
      </c>
      <c r="O895" s="2" t="s">
        <v>1377</v>
      </c>
      <c r="P895" s="25">
        <v>7.6</v>
      </c>
      <c r="Q895" t="str">
        <f t="shared" si="118"/>
        <v>0894</v>
      </c>
      <c r="R895" t="str">
        <f>IF('RETAIL SALES DATA.'!H895&gt;AVERAGE('RETAIL SALES DATA.'!H895:H1894),"HIGHEST VALUE","LOWEST VALUE")</f>
        <v>HIGHEST VALUE</v>
      </c>
      <c r="S895" t="str">
        <f t="shared" si="127"/>
        <v>Profit</v>
      </c>
      <c r="T895" t="str">
        <f t="shared" si="120"/>
        <v>David Henderson</v>
      </c>
      <c r="U895" t="str">
        <f t="shared" si="121"/>
        <v>Printer</v>
      </c>
      <c r="V895">
        <f t="shared" si="122"/>
        <v>2025</v>
      </c>
      <c r="W895">
        <f t="shared" si="123"/>
        <v>12</v>
      </c>
      <c r="X895">
        <f t="shared" si="124"/>
        <v>23</v>
      </c>
      <c r="Y895" t="str">
        <f t="shared" si="125"/>
        <v>Dec</v>
      </c>
      <c r="Z895">
        <f t="shared" si="126"/>
        <v>8</v>
      </c>
    </row>
    <row r="896" spans="1:26" ht="15.75" customHeight="1" x14ac:dyDescent="0.3">
      <c r="A896" s="2" t="s">
        <v>2063</v>
      </c>
      <c r="B896" s="2" t="s">
        <v>2064</v>
      </c>
      <c r="C896" s="2" t="s">
        <v>37</v>
      </c>
      <c r="D896" s="2" t="s">
        <v>19</v>
      </c>
      <c r="E896" s="2" t="s">
        <v>32</v>
      </c>
      <c r="F896" s="2">
        <v>8</v>
      </c>
      <c r="G896" s="2">
        <v>4769.2299999999996</v>
      </c>
      <c r="H896" s="2">
        <v>38153.839999999997</v>
      </c>
      <c r="I896" s="2">
        <v>23372.89</v>
      </c>
      <c r="J896" s="2">
        <v>14780.95</v>
      </c>
      <c r="K896" s="3">
        <v>45790</v>
      </c>
      <c r="L896" s="3">
        <v>45800</v>
      </c>
      <c r="M896" s="2" t="s">
        <v>26</v>
      </c>
      <c r="N896" s="2">
        <v>1</v>
      </c>
      <c r="O896" s="2" t="s">
        <v>436</v>
      </c>
      <c r="P896" s="25">
        <v>7.3</v>
      </c>
      <c r="Q896" t="str">
        <f t="shared" si="118"/>
        <v>0895</v>
      </c>
      <c r="R896" t="str">
        <f>IF('RETAIL SALES DATA.'!H896&gt;AVERAGE('RETAIL SALES DATA.'!H896:H1895),"HIGHEST VALUE","LOWEST VALUE")</f>
        <v>HIGHEST VALUE</v>
      </c>
      <c r="S896" t="str">
        <f t="shared" si="127"/>
        <v>Profit</v>
      </c>
      <c r="T896" t="str">
        <f t="shared" si="120"/>
        <v>Brandon Rivers</v>
      </c>
      <c r="U896" t="str">
        <f t="shared" si="121"/>
        <v>Marker</v>
      </c>
      <c r="V896">
        <f t="shared" si="122"/>
        <v>2025</v>
      </c>
      <c r="W896">
        <f t="shared" si="123"/>
        <v>5</v>
      </c>
      <c r="X896">
        <f t="shared" si="124"/>
        <v>13</v>
      </c>
      <c r="Y896" t="str">
        <f t="shared" si="125"/>
        <v>May</v>
      </c>
      <c r="Z896">
        <f t="shared" si="126"/>
        <v>10</v>
      </c>
    </row>
    <row r="897" spans="1:26" ht="15.75" customHeight="1" x14ac:dyDescent="0.3">
      <c r="A897" s="2" t="s">
        <v>2065</v>
      </c>
      <c r="B897" s="2" t="s">
        <v>2066</v>
      </c>
      <c r="C897" s="2" t="s">
        <v>49</v>
      </c>
      <c r="D897" s="2" t="s">
        <v>43</v>
      </c>
      <c r="E897" s="2" t="s">
        <v>32</v>
      </c>
      <c r="F897" s="2">
        <v>8</v>
      </c>
      <c r="G897" s="2">
        <v>373.37</v>
      </c>
      <c r="H897" s="2">
        <v>2986.96</v>
      </c>
      <c r="I897" s="2">
        <v>1912.76</v>
      </c>
      <c r="J897" s="2">
        <v>1074.2</v>
      </c>
      <c r="K897" s="3">
        <v>45676</v>
      </c>
      <c r="L897" s="3">
        <v>45680</v>
      </c>
      <c r="M897" s="2" t="s">
        <v>21</v>
      </c>
      <c r="N897" s="2">
        <v>2</v>
      </c>
      <c r="O897" s="2" t="s">
        <v>34</v>
      </c>
      <c r="P897" s="25">
        <v>7.9</v>
      </c>
      <c r="Q897" t="str">
        <f t="shared" si="118"/>
        <v>0896</v>
      </c>
      <c r="R897" t="str">
        <f>IF('RETAIL SALES DATA.'!H897&gt;AVERAGE('RETAIL SALES DATA.'!H897:H1896),"HIGHEST VALUE","LOWEST VALUE")</f>
        <v>LOWEST VALUE</v>
      </c>
      <c r="S897" t="str">
        <f t="shared" si="127"/>
        <v>Profit</v>
      </c>
      <c r="T897" t="str">
        <f t="shared" si="120"/>
        <v>Samantha Mendoza</v>
      </c>
      <c r="U897" t="str">
        <f t="shared" si="121"/>
        <v>Mouse</v>
      </c>
      <c r="V897">
        <f t="shared" si="122"/>
        <v>2025</v>
      </c>
      <c r="W897">
        <f t="shared" si="123"/>
        <v>1</v>
      </c>
      <c r="X897">
        <f t="shared" si="124"/>
        <v>19</v>
      </c>
      <c r="Y897" t="str">
        <f t="shared" si="125"/>
        <v>Jan</v>
      </c>
      <c r="Z897">
        <f t="shared" si="126"/>
        <v>4</v>
      </c>
    </row>
    <row r="898" spans="1:26" ht="15.75" customHeight="1" x14ac:dyDescent="0.3">
      <c r="A898" s="2" t="s">
        <v>2067</v>
      </c>
      <c r="B898" s="2" t="s">
        <v>2068</v>
      </c>
      <c r="C898" s="2" t="s">
        <v>49</v>
      </c>
      <c r="D898" s="2" t="s">
        <v>43</v>
      </c>
      <c r="E898" s="2" t="s">
        <v>44</v>
      </c>
      <c r="F898" s="2">
        <v>1</v>
      </c>
      <c r="G898" s="2">
        <v>1058.6500000000001</v>
      </c>
      <c r="H898" s="2">
        <v>1058.6500000000001</v>
      </c>
      <c r="I898" s="2">
        <v>609.35</v>
      </c>
      <c r="J898" s="2">
        <v>449.3</v>
      </c>
      <c r="K898" s="3">
        <v>46029</v>
      </c>
      <c r="L898" s="3">
        <v>46030</v>
      </c>
      <c r="M898" s="2" t="s">
        <v>38</v>
      </c>
      <c r="N898" s="2">
        <v>1</v>
      </c>
      <c r="O898" s="2" t="s">
        <v>1268</v>
      </c>
      <c r="P898" s="25">
        <v>9.6999999999999993</v>
      </c>
      <c r="Q898" t="str">
        <f t="shared" si="118"/>
        <v>0897</v>
      </c>
      <c r="R898" t="str">
        <f>IF('RETAIL SALES DATA.'!H898&gt;AVERAGE('RETAIL SALES DATA.'!H898:H1897),"HIGHEST VALUE","LOWEST VALUE")</f>
        <v>LOWEST VALUE</v>
      </c>
      <c r="S898" t="str">
        <f t="shared" si="127"/>
        <v>Profit</v>
      </c>
      <c r="T898" t="str">
        <f t="shared" si="120"/>
        <v>Marcus Sanders</v>
      </c>
      <c r="U898" t="str">
        <f t="shared" si="121"/>
        <v>Mouse</v>
      </c>
      <c r="V898">
        <f t="shared" si="122"/>
        <v>2026</v>
      </c>
      <c r="W898">
        <f t="shared" si="123"/>
        <v>1</v>
      </c>
      <c r="X898">
        <f t="shared" si="124"/>
        <v>7</v>
      </c>
      <c r="Y898" t="str">
        <f t="shared" si="125"/>
        <v>Jan</v>
      </c>
      <c r="Z898">
        <f t="shared" si="126"/>
        <v>1</v>
      </c>
    </row>
    <row r="899" spans="1:26" ht="15.75" customHeight="1" x14ac:dyDescent="0.3">
      <c r="A899" s="2" t="s">
        <v>2069</v>
      </c>
      <c r="B899" s="2" t="s">
        <v>2070</v>
      </c>
      <c r="C899" s="2" t="s">
        <v>95</v>
      </c>
      <c r="D899" s="2" t="s">
        <v>19</v>
      </c>
      <c r="E899" s="2" t="s">
        <v>32</v>
      </c>
      <c r="F899" s="2">
        <v>18</v>
      </c>
      <c r="G899" s="2">
        <v>4790.92</v>
      </c>
      <c r="H899" s="2">
        <v>86236.56</v>
      </c>
      <c r="I899" s="2">
        <v>45601.54</v>
      </c>
      <c r="J899" s="2">
        <v>40635.019999999997</v>
      </c>
      <c r="K899" s="3">
        <v>45761</v>
      </c>
      <c r="L899" s="3">
        <v>45769</v>
      </c>
      <c r="M899" s="2" t="s">
        <v>58</v>
      </c>
      <c r="N899" s="2">
        <v>4</v>
      </c>
      <c r="O899" s="2" t="s">
        <v>548</v>
      </c>
      <c r="P899" s="25">
        <v>9.6999999999999993</v>
      </c>
      <c r="Q899" t="str">
        <f t="shared" ref="Q899:Q962" si="128">RIGHT(A899,"4")</f>
        <v>0898</v>
      </c>
      <c r="R899" t="str">
        <f>IF('RETAIL SALES DATA.'!H899&gt;AVERAGE('RETAIL SALES DATA.'!H899:H1898),"HIGHEST VALUE","LOWEST VALUE")</f>
        <v>HIGHEST VALUE</v>
      </c>
      <c r="S899" t="str">
        <f t="shared" si="127"/>
        <v>Profit</v>
      </c>
      <c r="T899" t="str">
        <f t="shared" ref="T899:T962" si="129">PROPER(B899)</f>
        <v>Lisa Miller</v>
      </c>
      <c r="U899" t="str">
        <f t="shared" ref="U899:U962" si="130">PROPER(C899)</f>
        <v>Printer</v>
      </c>
      <c r="V899">
        <f t="shared" ref="V899:V962" si="131">YEAR(K899)</f>
        <v>2025</v>
      </c>
      <c r="W899">
        <f t="shared" ref="W899:W962" si="132">MONTH(L899)</f>
        <v>4</v>
      </c>
      <c r="X899">
        <f t="shared" ref="X899:X962" si="133">DAY(K899)</f>
        <v>14</v>
      </c>
      <c r="Y899" t="str">
        <f t="shared" ref="Y899:Y962" si="134">TEXT(K899,"MMM")</f>
        <v>Apr</v>
      </c>
      <c r="Z899">
        <f t="shared" ref="Z899:Z962" si="135">L899-K899</f>
        <v>8</v>
      </c>
    </row>
    <row r="900" spans="1:26" ht="15.75" customHeight="1" x14ac:dyDescent="0.3">
      <c r="A900" s="2" t="s">
        <v>2071</v>
      </c>
      <c r="B900" s="2" t="s">
        <v>2072</v>
      </c>
      <c r="C900" s="2" t="s">
        <v>62</v>
      </c>
      <c r="D900" s="2" t="s">
        <v>31</v>
      </c>
      <c r="E900" s="2" t="s">
        <v>25</v>
      </c>
      <c r="F900" s="2">
        <v>12</v>
      </c>
      <c r="G900" s="2">
        <v>1588.71</v>
      </c>
      <c r="H900" s="2">
        <v>19064.52</v>
      </c>
      <c r="I900" s="2">
        <v>15637.88</v>
      </c>
      <c r="J900" s="2">
        <v>3426.64</v>
      </c>
      <c r="K900" s="3">
        <v>45921</v>
      </c>
      <c r="L900" s="3">
        <v>45929</v>
      </c>
      <c r="M900" s="2" t="s">
        <v>50</v>
      </c>
      <c r="N900" s="2">
        <v>3</v>
      </c>
      <c r="O900" s="2" t="s">
        <v>187</v>
      </c>
      <c r="P900" s="25">
        <v>9.6999999999999993</v>
      </c>
      <c r="Q900" t="str">
        <f t="shared" si="128"/>
        <v>0899</v>
      </c>
      <c r="R900" t="str">
        <f>IF('RETAIL SALES DATA.'!H900&gt;AVERAGE('RETAIL SALES DATA.'!H900:H1899),"HIGHEST VALUE","LOWEST VALUE")</f>
        <v>LOWEST VALUE</v>
      </c>
      <c r="S900" t="str">
        <f t="shared" si="127"/>
        <v>Profit</v>
      </c>
      <c r="T900" t="str">
        <f t="shared" si="129"/>
        <v>Laura Park</v>
      </c>
      <c r="U900" t="str">
        <f t="shared" si="130"/>
        <v>Table</v>
      </c>
      <c r="V900">
        <f t="shared" si="131"/>
        <v>2025</v>
      </c>
      <c r="W900">
        <f t="shared" si="132"/>
        <v>9</v>
      </c>
      <c r="X900">
        <f t="shared" si="133"/>
        <v>21</v>
      </c>
      <c r="Y900" t="str">
        <f t="shared" si="134"/>
        <v>Sep</v>
      </c>
      <c r="Z900">
        <f t="shared" si="135"/>
        <v>8</v>
      </c>
    </row>
    <row r="901" spans="1:26" ht="15.75" customHeight="1" x14ac:dyDescent="0.3">
      <c r="A901" s="2" t="s">
        <v>2073</v>
      </c>
      <c r="B901" s="2" t="s">
        <v>2074</v>
      </c>
      <c r="C901" s="2" t="s">
        <v>144</v>
      </c>
      <c r="D901" s="2" t="s">
        <v>19</v>
      </c>
      <c r="E901" s="2" t="s">
        <v>32</v>
      </c>
      <c r="F901" s="2">
        <v>18</v>
      </c>
      <c r="G901" s="2">
        <v>3281.26</v>
      </c>
      <c r="H901" s="2">
        <v>59062.68</v>
      </c>
      <c r="I901" s="2">
        <v>38019.5</v>
      </c>
      <c r="J901" s="2">
        <v>21043.18</v>
      </c>
      <c r="K901" s="3">
        <v>45838</v>
      </c>
      <c r="L901" s="3">
        <v>45848</v>
      </c>
      <c r="M901" s="2" t="s">
        <v>69</v>
      </c>
      <c r="N901" s="2">
        <v>2</v>
      </c>
      <c r="O901" s="2" t="s">
        <v>567</v>
      </c>
      <c r="P901" s="25">
        <v>9.9</v>
      </c>
      <c r="Q901" t="str">
        <f t="shared" si="128"/>
        <v>0900</v>
      </c>
      <c r="R901" t="str">
        <f>IF('RETAIL SALES DATA.'!H901&gt;AVERAGE('RETAIL SALES DATA.'!H901:H1900),"HIGHEST VALUE","LOWEST VALUE")</f>
        <v>HIGHEST VALUE</v>
      </c>
      <c r="S901" t="str">
        <f t="shared" si="127"/>
        <v>Profit</v>
      </c>
      <c r="T901" t="str">
        <f t="shared" si="129"/>
        <v>Amy Compton</v>
      </c>
      <c r="U901" t="str">
        <f t="shared" si="130"/>
        <v>File</v>
      </c>
      <c r="V901">
        <f t="shared" si="131"/>
        <v>2025</v>
      </c>
      <c r="W901">
        <f t="shared" si="132"/>
        <v>7</v>
      </c>
      <c r="X901">
        <f t="shared" si="133"/>
        <v>30</v>
      </c>
      <c r="Y901" t="str">
        <f t="shared" si="134"/>
        <v>Jun</v>
      </c>
      <c r="Z901">
        <f t="shared" si="135"/>
        <v>10</v>
      </c>
    </row>
    <row r="902" spans="1:26" ht="15.75" customHeight="1" x14ac:dyDescent="0.3">
      <c r="A902" s="2" t="s">
        <v>2075</v>
      </c>
      <c r="B902" s="2" t="s">
        <v>2076</v>
      </c>
      <c r="C902" s="2" t="s">
        <v>144</v>
      </c>
      <c r="D902" s="2" t="s">
        <v>19</v>
      </c>
      <c r="E902" s="2" t="s">
        <v>25</v>
      </c>
      <c r="F902" s="2">
        <v>6</v>
      </c>
      <c r="G902" s="2">
        <v>4146.29</v>
      </c>
      <c r="H902" s="2">
        <v>24877.74</v>
      </c>
      <c r="I902" s="2">
        <v>15476.63</v>
      </c>
      <c r="J902" s="2">
        <v>9401.11</v>
      </c>
      <c r="K902" s="3">
        <v>45490</v>
      </c>
      <c r="L902" s="3">
        <v>45495</v>
      </c>
      <c r="M902" s="2" t="s">
        <v>123</v>
      </c>
      <c r="N902" s="2">
        <v>1</v>
      </c>
      <c r="O902" s="2" t="s">
        <v>367</v>
      </c>
      <c r="P902" s="25">
        <v>8.8000000000000007</v>
      </c>
      <c r="Q902" t="str">
        <f t="shared" si="128"/>
        <v>0901</v>
      </c>
      <c r="R902" t="str">
        <f>IF('RETAIL SALES DATA.'!H902&gt;AVERAGE('RETAIL SALES DATA.'!H902:H1901),"HIGHEST VALUE","LOWEST VALUE")</f>
        <v>LOWEST VALUE</v>
      </c>
      <c r="S902" t="str">
        <f t="shared" si="127"/>
        <v>Profit</v>
      </c>
      <c r="T902" t="str">
        <f t="shared" si="129"/>
        <v>Amber Rodriguez</v>
      </c>
      <c r="U902" t="str">
        <f t="shared" si="130"/>
        <v>File</v>
      </c>
      <c r="V902">
        <f t="shared" si="131"/>
        <v>2024</v>
      </c>
      <c r="W902">
        <f t="shared" si="132"/>
        <v>7</v>
      </c>
      <c r="X902">
        <f t="shared" si="133"/>
        <v>17</v>
      </c>
      <c r="Y902" t="str">
        <f t="shared" si="134"/>
        <v>Jul</v>
      </c>
      <c r="Z902">
        <f t="shared" si="135"/>
        <v>5</v>
      </c>
    </row>
    <row r="903" spans="1:26" ht="15.75" customHeight="1" x14ac:dyDescent="0.3">
      <c r="A903" s="2" t="s">
        <v>2077</v>
      </c>
      <c r="B903" s="2" t="s">
        <v>2078</v>
      </c>
      <c r="C903" s="2" t="s">
        <v>49</v>
      </c>
      <c r="D903" s="2" t="s">
        <v>43</v>
      </c>
      <c r="E903" s="2" t="s">
        <v>25</v>
      </c>
      <c r="F903" s="2">
        <v>17</v>
      </c>
      <c r="G903" s="2">
        <v>2823.86</v>
      </c>
      <c r="H903" s="2">
        <v>48005.62</v>
      </c>
      <c r="I903" s="2">
        <v>41780.07</v>
      </c>
      <c r="J903" s="2">
        <v>6225.55</v>
      </c>
      <c r="K903" s="3">
        <v>45666</v>
      </c>
      <c r="L903" s="3">
        <v>45675</v>
      </c>
      <c r="M903" s="2" t="s">
        <v>45</v>
      </c>
      <c r="N903" s="2">
        <v>3</v>
      </c>
      <c r="O903" s="2" t="s">
        <v>480</v>
      </c>
      <c r="P903" s="25">
        <v>6</v>
      </c>
      <c r="Q903" t="str">
        <f t="shared" si="128"/>
        <v>0902</v>
      </c>
      <c r="R903" t="str">
        <f>IF('RETAIL SALES DATA.'!H903&gt;AVERAGE('RETAIL SALES DATA.'!H903:H1902),"HIGHEST VALUE","LOWEST VALUE")</f>
        <v>HIGHEST VALUE</v>
      </c>
      <c r="S903" t="str">
        <f>IF(J903&gt;0,"Profit","Loss")</f>
        <v>Profit</v>
      </c>
      <c r="T903" t="str">
        <f t="shared" si="129"/>
        <v>Caitlyn Cole</v>
      </c>
      <c r="U903" t="str">
        <f t="shared" si="130"/>
        <v>Mouse</v>
      </c>
      <c r="V903">
        <f t="shared" si="131"/>
        <v>2025</v>
      </c>
      <c r="W903">
        <f t="shared" si="132"/>
        <v>1</v>
      </c>
      <c r="X903">
        <f t="shared" si="133"/>
        <v>9</v>
      </c>
      <c r="Y903" t="str">
        <f t="shared" si="134"/>
        <v>Jan</v>
      </c>
      <c r="Z903">
        <f t="shared" si="135"/>
        <v>9</v>
      </c>
    </row>
    <row r="904" spans="1:26" ht="15.75" customHeight="1" x14ac:dyDescent="0.3">
      <c r="A904" s="2" t="s">
        <v>2079</v>
      </c>
      <c r="B904" s="2" t="s">
        <v>2080</v>
      </c>
      <c r="C904" s="2" t="s">
        <v>30</v>
      </c>
      <c r="D904" s="2" t="s">
        <v>31</v>
      </c>
      <c r="E904" s="2" t="s">
        <v>20</v>
      </c>
      <c r="F904" s="2">
        <v>11</v>
      </c>
      <c r="G904" s="2">
        <v>1570.59</v>
      </c>
      <c r="H904" s="2">
        <v>17276.490000000002</v>
      </c>
      <c r="I904" s="2">
        <v>12185.08</v>
      </c>
      <c r="J904" s="2">
        <v>5091.41</v>
      </c>
      <c r="K904" s="3">
        <v>45865</v>
      </c>
      <c r="L904" s="3">
        <v>45866</v>
      </c>
      <c r="M904" s="2" t="s">
        <v>45</v>
      </c>
      <c r="N904" s="2">
        <v>3</v>
      </c>
      <c r="O904" s="2" t="s">
        <v>362</v>
      </c>
      <c r="P904" s="25">
        <v>9.1</v>
      </c>
      <c r="Q904" t="str">
        <f t="shared" si="128"/>
        <v>0903</v>
      </c>
      <c r="R904" t="str">
        <f>IF('RETAIL SALES DATA.'!H904&gt;AVERAGE('RETAIL SALES DATA.'!H904:H1903),"HIGHEST VALUE","LOWEST VALUE")</f>
        <v>LOWEST VALUE</v>
      </c>
      <c r="S904" t="str">
        <f t="shared" ref="S904:S967" si="136">IF(J904&gt;0,"Profit","Loss")</f>
        <v>Profit</v>
      </c>
      <c r="T904" t="str">
        <f t="shared" si="129"/>
        <v>Jeremy Drake</v>
      </c>
      <c r="U904" t="str">
        <f t="shared" si="130"/>
        <v>Desk</v>
      </c>
      <c r="V904">
        <f t="shared" si="131"/>
        <v>2025</v>
      </c>
      <c r="W904">
        <f t="shared" si="132"/>
        <v>7</v>
      </c>
      <c r="X904">
        <f t="shared" si="133"/>
        <v>27</v>
      </c>
      <c r="Y904" t="str">
        <f t="shared" si="134"/>
        <v>Jul</v>
      </c>
      <c r="Z904">
        <f t="shared" si="135"/>
        <v>1</v>
      </c>
    </row>
    <row r="905" spans="1:26" ht="15.75" customHeight="1" x14ac:dyDescent="0.3">
      <c r="A905" s="2" t="s">
        <v>2081</v>
      </c>
      <c r="B905" s="2" t="s">
        <v>2082</v>
      </c>
      <c r="C905" s="2" t="s">
        <v>195</v>
      </c>
      <c r="D905" s="2" t="s">
        <v>43</v>
      </c>
      <c r="E905" s="2" t="s">
        <v>25</v>
      </c>
      <c r="F905" s="2">
        <v>12</v>
      </c>
      <c r="G905" s="2">
        <v>154.02000000000001</v>
      </c>
      <c r="H905" s="2">
        <v>1848.24</v>
      </c>
      <c r="I905" s="2">
        <v>966.05</v>
      </c>
      <c r="J905" s="2">
        <v>882.19</v>
      </c>
      <c r="K905" s="3">
        <v>45755</v>
      </c>
      <c r="L905" s="3">
        <v>45756</v>
      </c>
      <c r="M905" s="2" t="s">
        <v>181</v>
      </c>
      <c r="N905" s="2">
        <v>1</v>
      </c>
      <c r="O905" s="2" t="s">
        <v>709</v>
      </c>
      <c r="P905" s="25">
        <v>9.8000000000000007</v>
      </c>
      <c r="Q905" t="str">
        <f t="shared" si="128"/>
        <v>0904</v>
      </c>
      <c r="R905" t="str">
        <f>IF('RETAIL SALES DATA.'!H905&gt;AVERAGE('RETAIL SALES DATA.'!H905:H1904),"HIGHEST VALUE","LOWEST VALUE")</f>
        <v>LOWEST VALUE</v>
      </c>
      <c r="S905" t="str">
        <f t="shared" si="136"/>
        <v>Profit</v>
      </c>
      <c r="T905" t="str">
        <f t="shared" si="129"/>
        <v>Nicole Newton</v>
      </c>
      <c r="U905" t="str">
        <f t="shared" si="130"/>
        <v>Monitor</v>
      </c>
      <c r="V905">
        <f t="shared" si="131"/>
        <v>2025</v>
      </c>
      <c r="W905">
        <f t="shared" si="132"/>
        <v>4</v>
      </c>
      <c r="X905">
        <f t="shared" si="133"/>
        <v>8</v>
      </c>
      <c r="Y905" t="str">
        <f t="shared" si="134"/>
        <v>Apr</v>
      </c>
      <c r="Z905">
        <f t="shared" si="135"/>
        <v>1</v>
      </c>
    </row>
    <row r="906" spans="1:26" ht="15.75" customHeight="1" x14ac:dyDescent="0.3">
      <c r="A906" s="2" t="s">
        <v>2083</v>
      </c>
      <c r="B906" s="2" t="s">
        <v>2084</v>
      </c>
      <c r="C906" s="2" t="s">
        <v>144</v>
      </c>
      <c r="D906" s="2" t="s">
        <v>19</v>
      </c>
      <c r="E906" s="2" t="s">
        <v>32</v>
      </c>
      <c r="F906" s="2">
        <v>6</v>
      </c>
      <c r="G906" s="2">
        <v>3795.95</v>
      </c>
      <c r="H906" s="2">
        <v>22775.7</v>
      </c>
      <c r="I906" s="2">
        <v>12722.81</v>
      </c>
      <c r="J906" s="2">
        <v>10052.89</v>
      </c>
      <c r="K906" s="3">
        <v>45703</v>
      </c>
      <c r="L906" s="3">
        <v>45706</v>
      </c>
      <c r="M906" s="2" t="s">
        <v>58</v>
      </c>
      <c r="N906" s="2">
        <v>4</v>
      </c>
      <c r="O906" s="2" t="s">
        <v>548</v>
      </c>
      <c r="P906" s="25">
        <v>6.2</v>
      </c>
      <c r="Q906" t="str">
        <f t="shared" si="128"/>
        <v>0905</v>
      </c>
      <c r="R906" t="str">
        <f>IF('RETAIL SALES DATA.'!H906&gt;AVERAGE('RETAIL SALES DATA.'!H906:H1905),"HIGHEST VALUE","LOWEST VALUE")</f>
        <v>LOWEST VALUE</v>
      </c>
      <c r="S906" t="str">
        <f t="shared" si="136"/>
        <v>Profit</v>
      </c>
      <c r="T906" t="str">
        <f t="shared" si="129"/>
        <v>Adam White</v>
      </c>
      <c r="U906" t="str">
        <f t="shared" si="130"/>
        <v>File</v>
      </c>
      <c r="V906">
        <f t="shared" si="131"/>
        <v>2025</v>
      </c>
      <c r="W906">
        <f t="shared" si="132"/>
        <v>2</v>
      </c>
      <c r="X906">
        <f t="shared" si="133"/>
        <v>15</v>
      </c>
      <c r="Y906" t="str">
        <f t="shared" si="134"/>
        <v>Feb</v>
      </c>
      <c r="Z906">
        <f t="shared" si="135"/>
        <v>3</v>
      </c>
    </row>
    <row r="907" spans="1:26" ht="15.75" customHeight="1" x14ac:dyDescent="0.3">
      <c r="A907" s="2" t="s">
        <v>2085</v>
      </c>
      <c r="B907" s="2" t="s">
        <v>2086</v>
      </c>
      <c r="C907" s="2" t="s">
        <v>62</v>
      </c>
      <c r="D907" s="2" t="s">
        <v>31</v>
      </c>
      <c r="E907" s="2" t="s">
        <v>25</v>
      </c>
      <c r="F907" s="2">
        <v>3</v>
      </c>
      <c r="G907" s="2">
        <v>894.14</v>
      </c>
      <c r="H907" s="2">
        <v>2682.42</v>
      </c>
      <c r="I907" s="2">
        <v>2022.28</v>
      </c>
      <c r="J907" s="2">
        <v>660.14</v>
      </c>
      <c r="K907" s="3">
        <v>45660</v>
      </c>
      <c r="L907" s="3">
        <v>45665</v>
      </c>
      <c r="M907" s="2" t="s">
        <v>69</v>
      </c>
      <c r="N907" s="2">
        <v>1</v>
      </c>
      <c r="O907" s="2" t="s">
        <v>2087</v>
      </c>
      <c r="P907" s="25">
        <v>7.6</v>
      </c>
      <c r="Q907" t="str">
        <f t="shared" si="128"/>
        <v>0906</v>
      </c>
      <c r="R907" t="str">
        <f>IF('RETAIL SALES DATA.'!H907&gt;AVERAGE('RETAIL SALES DATA.'!H907:H1906),"HIGHEST VALUE","LOWEST VALUE")</f>
        <v>LOWEST VALUE</v>
      </c>
      <c r="S907" t="str">
        <f t="shared" si="136"/>
        <v>Profit</v>
      </c>
      <c r="T907" t="str">
        <f t="shared" si="129"/>
        <v>Sarah Anderson</v>
      </c>
      <c r="U907" t="str">
        <f t="shared" si="130"/>
        <v>Table</v>
      </c>
      <c r="V907">
        <f t="shared" si="131"/>
        <v>2025</v>
      </c>
      <c r="W907">
        <f t="shared" si="132"/>
        <v>1</v>
      </c>
      <c r="X907">
        <f t="shared" si="133"/>
        <v>3</v>
      </c>
      <c r="Y907" t="str">
        <f t="shared" si="134"/>
        <v>Jan</v>
      </c>
      <c r="Z907">
        <f t="shared" si="135"/>
        <v>5</v>
      </c>
    </row>
    <row r="908" spans="1:26" ht="15.75" customHeight="1" x14ac:dyDescent="0.3">
      <c r="A908" s="2" t="s">
        <v>2088</v>
      </c>
      <c r="B908" s="2" t="s">
        <v>2089</v>
      </c>
      <c r="C908" s="2" t="s">
        <v>144</v>
      </c>
      <c r="D908" s="2" t="s">
        <v>19</v>
      </c>
      <c r="E908" s="2" t="s">
        <v>25</v>
      </c>
      <c r="F908" s="2">
        <v>20</v>
      </c>
      <c r="G908" s="2">
        <v>1942.27</v>
      </c>
      <c r="H908" s="2">
        <v>38845.4</v>
      </c>
      <c r="I908" s="2">
        <v>30487.75</v>
      </c>
      <c r="J908" s="2">
        <v>8357.65</v>
      </c>
      <c r="K908" s="3">
        <v>45551</v>
      </c>
      <c r="L908" s="3">
        <v>45552</v>
      </c>
      <c r="M908" s="2" t="s">
        <v>181</v>
      </c>
      <c r="N908" s="2">
        <v>3</v>
      </c>
      <c r="O908" s="2" t="s">
        <v>1103</v>
      </c>
      <c r="P908" s="25">
        <v>10</v>
      </c>
      <c r="Q908" t="str">
        <f t="shared" si="128"/>
        <v>0907</v>
      </c>
      <c r="R908" t="str">
        <f>IF('RETAIL SALES DATA.'!H908&gt;AVERAGE('RETAIL SALES DATA.'!H908:H1907),"HIGHEST VALUE","LOWEST VALUE")</f>
        <v>HIGHEST VALUE</v>
      </c>
      <c r="S908" t="str">
        <f t="shared" si="136"/>
        <v>Profit</v>
      </c>
      <c r="T908" t="str">
        <f t="shared" si="129"/>
        <v>Jesse Williams</v>
      </c>
      <c r="U908" t="str">
        <f t="shared" si="130"/>
        <v>File</v>
      </c>
      <c r="V908">
        <f t="shared" si="131"/>
        <v>2024</v>
      </c>
      <c r="W908">
        <f t="shared" si="132"/>
        <v>9</v>
      </c>
      <c r="X908">
        <f t="shared" si="133"/>
        <v>16</v>
      </c>
      <c r="Y908" t="str">
        <f t="shared" si="134"/>
        <v>Sep</v>
      </c>
      <c r="Z908">
        <f t="shared" si="135"/>
        <v>1</v>
      </c>
    </row>
    <row r="909" spans="1:26" ht="15.75" customHeight="1" x14ac:dyDescent="0.3">
      <c r="A909" s="2" t="s">
        <v>2090</v>
      </c>
      <c r="B909" s="2" t="s">
        <v>2091</v>
      </c>
      <c r="C909" s="2" t="s">
        <v>30</v>
      </c>
      <c r="D909" s="2" t="s">
        <v>31</v>
      </c>
      <c r="E909" s="2" t="s">
        <v>20</v>
      </c>
      <c r="F909" s="2">
        <v>18</v>
      </c>
      <c r="G909" s="2">
        <v>2525.35</v>
      </c>
      <c r="H909" s="2">
        <v>45456.3</v>
      </c>
      <c r="I909" s="2">
        <v>38976.870000000003</v>
      </c>
      <c r="J909" s="2">
        <v>6479.43</v>
      </c>
      <c r="K909" s="3">
        <v>46022</v>
      </c>
      <c r="L909" s="3">
        <v>46031</v>
      </c>
      <c r="M909" s="2" t="s">
        <v>69</v>
      </c>
      <c r="N909" s="2">
        <v>1</v>
      </c>
      <c r="O909" s="2" t="s">
        <v>108</v>
      </c>
      <c r="P909" s="25">
        <v>6.6</v>
      </c>
      <c r="Q909" t="str">
        <f t="shared" si="128"/>
        <v>0908</v>
      </c>
      <c r="R909" t="str">
        <f>IF('RETAIL SALES DATA.'!H909&gt;AVERAGE('RETAIL SALES DATA.'!H909:H1908),"HIGHEST VALUE","LOWEST VALUE")</f>
        <v>HIGHEST VALUE</v>
      </c>
      <c r="S909" t="str">
        <f t="shared" si="136"/>
        <v>Profit</v>
      </c>
      <c r="T909" t="str">
        <f t="shared" si="129"/>
        <v>Dr. Jennifer Washington Dvm</v>
      </c>
      <c r="U909" t="str">
        <f t="shared" si="130"/>
        <v>Desk</v>
      </c>
      <c r="V909">
        <f t="shared" si="131"/>
        <v>2025</v>
      </c>
      <c r="W909">
        <f t="shared" si="132"/>
        <v>1</v>
      </c>
      <c r="X909">
        <f t="shared" si="133"/>
        <v>31</v>
      </c>
      <c r="Y909" t="str">
        <f t="shared" si="134"/>
        <v>Dec</v>
      </c>
      <c r="Z909">
        <f t="shared" si="135"/>
        <v>9</v>
      </c>
    </row>
    <row r="910" spans="1:26" ht="15.75" customHeight="1" x14ac:dyDescent="0.3">
      <c r="A910" s="2" t="s">
        <v>2092</v>
      </c>
      <c r="B910" s="2" t="s">
        <v>2093</v>
      </c>
      <c r="C910" s="2" t="s">
        <v>88</v>
      </c>
      <c r="D910" s="2" t="s">
        <v>31</v>
      </c>
      <c r="E910" s="2" t="s">
        <v>20</v>
      </c>
      <c r="F910" s="2">
        <v>14</v>
      </c>
      <c r="G910" s="2">
        <v>3636.09</v>
      </c>
      <c r="H910" s="2">
        <v>50905.26</v>
      </c>
      <c r="I910" s="2">
        <v>35945.199999999997</v>
      </c>
      <c r="J910" s="2">
        <v>14960.06</v>
      </c>
      <c r="K910" s="3">
        <v>45705</v>
      </c>
      <c r="L910" s="3">
        <v>45706</v>
      </c>
      <c r="M910" s="2" t="s">
        <v>50</v>
      </c>
      <c r="N910" s="2">
        <v>1</v>
      </c>
      <c r="O910" s="2" t="s">
        <v>362</v>
      </c>
      <c r="P910" s="25">
        <v>8.9</v>
      </c>
      <c r="Q910" t="str">
        <f t="shared" si="128"/>
        <v>0909</v>
      </c>
      <c r="R910" t="str">
        <f>IF('RETAIL SALES DATA.'!H910&gt;AVERAGE('RETAIL SALES DATA.'!H910:H1909),"HIGHEST VALUE","LOWEST VALUE")</f>
        <v>HIGHEST VALUE</v>
      </c>
      <c r="S910" t="str">
        <f t="shared" si="136"/>
        <v>Profit</v>
      </c>
      <c r="T910" t="str">
        <f t="shared" si="129"/>
        <v>Holly Davenport</v>
      </c>
      <c r="U910" t="str">
        <f t="shared" si="130"/>
        <v>Cupboard</v>
      </c>
      <c r="V910">
        <f t="shared" si="131"/>
        <v>2025</v>
      </c>
      <c r="W910">
        <f t="shared" si="132"/>
        <v>2</v>
      </c>
      <c r="X910">
        <f t="shared" si="133"/>
        <v>17</v>
      </c>
      <c r="Y910" t="str">
        <f t="shared" si="134"/>
        <v>Feb</v>
      </c>
      <c r="Z910">
        <f t="shared" si="135"/>
        <v>1</v>
      </c>
    </row>
    <row r="911" spans="1:26" ht="15.75" customHeight="1" x14ac:dyDescent="0.3">
      <c r="A911" s="2" t="s">
        <v>2094</v>
      </c>
      <c r="B911" s="2" t="s">
        <v>2095</v>
      </c>
      <c r="C911" s="2" t="s">
        <v>88</v>
      </c>
      <c r="D911" s="2" t="s">
        <v>31</v>
      </c>
      <c r="E911" s="2" t="s">
        <v>32</v>
      </c>
      <c r="F911" s="2">
        <v>11</v>
      </c>
      <c r="G911" s="2">
        <v>4551.93</v>
      </c>
      <c r="H911" s="2">
        <v>50071.23</v>
      </c>
      <c r="I911" s="2">
        <v>44377.87</v>
      </c>
      <c r="J911" s="2">
        <v>5693.36</v>
      </c>
      <c r="K911" s="3">
        <v>45584</v>
      </c>
      <c r="L911" s="3">
        <v>45589</v>
      </c>
      <c r="M911" s="2" t="s">
        <v>58</v>
      </c>
      <c r="N911" s="2">
        <v>3</v>
      </c>
      <c r="O911" s="2" t="s">
        <v>548</v>
      </c>
      <c r="P911" s="25">
        <v>8.6999999999999993</v>
      </c>
      <c r="Q911" t="str">
        <f t="shared" si="128"/>
        <v>0910</v>
      </c>
      <c r="R911" t="str">
        <f>IF('RETAIL SALES DATA.'!H911&gt;AVERAGE('RETAIL SALES DATA.'!H911:H1910),"HIGHEST VALUE","LOWEST VALUE")</f>
        <v>HIGHEST VALUE</v>
      </c>
      <c r="S911" t="str">
        <f t="shared" si="136"/>
        <v>Profit</v>
      </c>
      <c r="T911" t="str">
        <f t="shared" si="129"/>
        <v>Daniel Shelton</v>
      </c>
      <c r="U911" t="str">
        <f t="shared" si="130"/>
        <v>Cupboard</v>
      </c>
      <c r="V911">
        <f t="shared" si="131"/>
        <v>2024</v>
      </c>
      <c r="W911">
        <f t="shared" si="132"/>
        <v>10</v>
      </c>
      <c r="X911">
        <f t="shared" si="133"/>
        <v>19</v>
      </c>
      <c r="Y911" t="str">
        <f t="shared" si="134"/>
        <v>Oct</v>
      </c>
      <c r="Z911">
        <f t="shared" si="135"/>
        <v>5</v>
      </c>
    </row>
    <row r="912" spans="1:26" ht="15.75" customHeight="1" x14ac:dyDescent="0.3">
      <c r="A912" s="2" t="s">
        <v>2096</v>
      </c>
      <c r="B912" s="2" t="s">
        <v>2097</v>
      </c>
      <c r="C912" s="2" t="s">
        <v>195</v>
      </c>
      <c r="D912" s="2" t="s">
        <v>43</v>
      </c>
      <c r="E912" s="2" t="s">
        <v>20</v>
      </c>
      <c r="F912" s="2">
        <v>16</v>
      </c>
      <c r="G912" s="2">
        <v>1851.23</v>
      </c>
      <c r="H912" s="2">
        <v>29619.68</v>
      </c>
      <c r="I912" s="2">
        <v>24783.98</v>
      </c>
      <c r="J912" s="2">
        <v>4835.7</v>
      </c>
      <c r="K912" s="3">
        <v>45545</v>
      </c>
      <c r="L912" s="3">
        <v>45552</v>
      </c>
      <c r="M912" s="2" t="s">
        <v>45</v>
      </c>
      <c r="N912" s="2">
        <v>2</v>
      </c>
      <c r="O912" s="2" t="s">
        <v>620</v>
      </c>
      <c r="P912" s="25">
        <v>8</v>
      </c>
      <c r="Q912" t="str">
        <f t="shared" si="128"/>
        <v>0911</v>
      </c>
      <c r="R912" t="str">
        <f>IF('RETAIL SALES DATA.'!H912&gt;AVERAGE('RETAIL SALES DATA.'!H912:H1911),"HIGHEST VALUE","LOWEST VALUE")</f>
        <v>HIGHEST VALUE</v>
      </c>
      <c r="S912" t="str">
        <f t="shared" si="136"/>
        <v>Profit</v>
      </c>
      <c r="T912" t="str">
        <f t="shared" si="129"/>
        <v>Dr. Karen Avila</v>
      </c>
      <c r="U912" t="str">
        <f t="shared" si="130"/>
        <v>Monitor</v>
      </c>
      <c r="V912">
        <f t="shared" si="131"/>
        <v>2024</v>
      </c>
      <c r="W912">
        <f t="shared" si="132"/>
        <v>9</v>
      </c>
      <c r="X912">
        <f t="shared" si="133"/>
        <v>10</v>
      </c>
      <c r="Y912" t="str">
        <f t="shared" si="134"/>
        <v>Sep</v>
      </c>
      <c r="Z912">
        <f t="shared" si="135"/>
        <v>7</v>
      </c>
    </row>
    <row r="913" spans="1:26" ht="15.75" customHeight="1" x14ac:dyDescent="0.3">
      <c r="A913" s="2" t="s">
        <v>2098</v>
      </c>
      <c r="B913" s="2" t="s">
        <v>2099</v>
      </c>
      <c r="C913" s="2" t="s">
        <v>49</v>
      </c>
      <c r="D913" s="2" t="s">
        <v>43</v>
      </c>
      <c r="E913" s="2" t="s">
        <v>25</v>
      </c>
      <c r="F913" s="2">
        <v>13</v>
      </c>
      <c r="G913" s="2">
        <v>4021.92</v>
      </c>
      <c r="H913" s="2">
        <v>52284.959999999999</v>
      </c>
      <c r="I913" s="2">
        <v>34902.400000000001</v>
      </c>
      <c r="J913" s="2">
        <v>17382.560000000001</v>
      </c>
      <c r="K913" s="3">
        <v>45863</v>
      </c>
      <c r="L913" s="3">
        <v>45867</v>
      </c>
      <c r="M913" s="2" t="s">
        <v>181</v>
      </c>
      <c r="N913" s="2">
        <v>5</v>
      </c>
      <c r="O913" s="2" t="s">
        <v>220</v>
      </c>
      <c r="P913" s="25">
        <v>7.7</v>
      </c>
      <c r="Q913" t="str">
        <f t="shared" si="128"/>
        <v>0912</v>
      </c>
      <c r="R913" t="str">
        <f>IF('RETAIL SALES DATA.'!H913&gt;AVERAGE('RETAIL SALES DATA.'!H913:H1912),"HIGHEST VALUE","LOWEST VALUE")</f>
        <v>HIGHEST VALUE</v>
      </c>
      <c r="S913" t="str">
        <f t="shared" si="136"/>
        <v>Profit</v>
      </c>
      <c r="T913" t="str">
        <f t="shared" si="129"/>
        <v>Dr. Andrew Conrad</v>
      </c>
      <c r="U913" t="str">
        <f t="shared" si="130"/>
        <v>Mouse</v>
      </c>
      <c r="V913">
        <f t="shared" si="131"/>
        <v>2025</v>
      </c>
      <c r="W913">
        <f t="shared" si="132"/>
        <v>7</v>
      </c>
      <c r="X913">
        <f t="shared" si="133"/>
        <v>25</v>
      </c>
      <c r="Y913" t="str">
        <f t="shared" si="134"/>
        <v>Jul</v>
      </c>
      <c r="Z913">
        <f t="shared" si="135"/>
        <v>4</v>
      </c>
    </row>
    <row r="914" spans="1:26" ht="15.75" customHeight="1" x14ac:dyDescent="0.3">
      <c r="A914" s="2" t="s">
        <v>2100</v>
      </c>
      <c r="B914" s="2" t="s">
        <v>2101</v>
      </c>
      <c r="C914" s="2" t="s">
        <v>139</v>
      </c>
      <c r="D914" s="2" t="s">
        <v>31</v>
      </c>
      <c r="E914" s="2" t="s">
        <v>44</v>
      </c>
      <c r="F914" s="2">
        <v>12</v>
      </c>
      <c r="G914" s="2">
        <v>3431.95</v>
      </c>
      <c r="H914" s="2">
        <v>41183.4</v>
      </c>
      <c r="I914" s="2">
        <v>25649.14</v>
      </c>
      <c r="J914" s="2">
        <v>15534.26</v>
      </c>
      <c r="K914" s="3">
        <v>46006</v>
      </c>
      <c r="L914" s="3">
        <v>46016</v>
      </c>
      <c r="M914" s="2" t="s">
        <v>123</v>
      </c>
      <c r="N914" s="2">
        <v>1</v>
      </c>
      <c r="O914" s="2" t="s">
        <v>627</v>
      </c>
      <c r="P914" s="25">
        <v>7.6</v>
      </c>
      <c r="Q914" t="str">
        <f t="shared" si="128"/>
        <v>0913</v>
      </c>
      <c r="R914" t="str">
        <f>IF('RETAIL SALES DATA.'!H914&gt;AVERAGE('RETAIL SALES DATA.'!H914:H1913),"HIGHEST VALUE","LOWEST VALUE")</f>
        <v>HIGHEST VALUE</v>
      </c>
      <c r="S914" t="str">
        <f t="shared" si="136"/>
        <v>Profit</v>
      </c>
      <c r="T914" t="str">
        <f t="shared" si="129"/>
        <v>Allen Evans</v>
      </c>
      <c r="U914" t="str">
        <f t="shared" si="130"/>
        <v>Sofa</v>
      </c>
      <c r="V914">
        <f t="shared" si="131"/>
        <v>2025</v>
      </c>
      <c r="W914">
        <f t="shared" si="132"/>
        <v>12</v>
      </c>
      <c r="X914">
        <f t="shared" si="133"/>
        <v>15</v>
      </c>
      <c r="Y914" t="str">
        <f t="shared" si="134"/>
        <v>Dec</v>
      </c>
      <c r="Z914">
        <f t="shared" si="135"/>
        <v>10</v>
      </c>
    </row>
    <row r="915" spans="1:26" ht="15.75" customHeight="1" x14ac:dyDescent="0.3">
      <c r="A915" s="2" t="s">
        <v>2102</v>
      </c>
      <c r="B915" s="2" t="s">
        <v>2103</v>
      </c>
      <c r="C915" s="2" t="s">
        <v>42</v>
      </c>
      <c r="D915" s="2" t="s">
        <v>43</v>
      </c>
      <c r="E915" s="2" t="s">
        <v>20</v>
      </c>
      <c r="F915" s="2">
        <v>10</v>
      </c>
      <c r="G915" s="2">
        <v>4913.2700000000004</v>
      </c>
      <c r="H915" s="2">
        <v>49132.7</v>
      </c>
      <c r="I915" s="2">
        <v>30708.17</v>
      </c>
      <c r="J915" s="2">
        <v>18424.53</v>
      </c>
      <c r="K915" s="3">
        <v>45952</v>
      </c>
      <c r="L915" s="3">
        <v>45958</v>
      </c>
      <c r="M915" s="2" t="s">
        <v>38</v>
      </c>
      <c r="N915" s="2">
        <v>3</v>
      </c>
      <c r="O915" s="2" t="s">
        <v>120</v>
      </c>
      <c r="P915" s="25">
        <v>8.1999999999999993</v>
      </c>
      <c r="Q915" t="str">
        <f t="shared" si="128"/>
        <v>0914</v>
      </c>
      <c r="R915" t="str">
        <f>IF('RETAIL SALES DATA.'!H915&gt;AVERAGE('RETAIL SALES DATA.'!H915:H1914),"HIGHEST VALUE","LOWEST VALUE")</f>
        <v>HIGHEST VALUE</v>
      </c>
      <c r="S915" t="str">
        <f t="shared" si="136"/>
        <v>Profit</v>
      </c>
      <c r="T915" t="str">
        <f t="shared" si="129"/>
        <v>Joseph Burns</v>
      </c>
      <c r="U915" t="str">
        <f t="shared" si="130"/>
        <v>Laptop</v>
      </c>
      <c r="V915">
        <f t="shared" si="131"/>
        <v>2025</v>
      </c>
      <c r="W915">
        <f t="shared" si="132"/>
        <v>10</v>
      </c>
      <c r="X915">
        <f t="shared" si="133"/>
        <v>22</v>
      </c>
      <c r="Y915" t="str">
        <f t="shared" si="134"/>
        <v>Oct</v>
      </c>
      <c r="Z915">
        <f t="shared" si="135"/>
        <v>6</v>
      </c>
    </row>
    <row r="916" spans="1:26" ht="15.75" customHeight="1" x14ac:dyDescent="0.3">
      <c r="A916" s="2" t="s">
        <v>2104</v>
      </c>
      <c r="B916" s="2" t="s">
        <v>2105</v>
      </c>
      <c r="C916" s="2" t="s">
        <v>49</v>
      </c>
      <c r="D916" s="2" t="s">
        <v>43</v>
      </c>
      <c r="E916" s="2" t="s">
        <v>32</v>
      </c>
      <c r="F916" s="2">
        <v>11</v>
      </c>
      <c r="G916" s="2">
        <v>3229.93</v>
      </c>
      <c r="H916" s="2">
        <v>35529.230000000003</v>
      </c>
      <c r="I916" s="2">
        <v>26935.38</v>
      </c>
      <c r="J916" s="2">
        <v>8593.85</v>
      </c>
      <c r="K916" s="3">
        <v>46037</v>
      </c>
      <c r="L916" s="3">
        <v>46046</v>
      </c>
      <c r="M916" s="2" t="s">
        <v>38</v>
      </c>
      <c r="N916" s="2">
        <v>5</v>
      </c>
      <c r="O916" s="2" t="s">
        <v>270</v>
      </c>
      <c r="P916" s="25">
        <v>9.9</v>
      </c>
      <c r="Q916" t="str">
        <f t="shared" si="128"/>
        <v>0915</v>
      </c>
      <c r="R916" t="str">
        <f>IF('RETAIL SALES DATA.'!H916&gt;AVERAGE('RETAIL SALES DATA.'!H916:H1915),"HIGHEST VALUE","LOWEST VALUE")</f>
        <v>HIGHEST VALUE</v>
      </c>
      <c r="S916" t="str">
        <f t="shared" si="136"/>
        <v>Profit</v>
      </c>
      <c r="T916" t="str">
        <f t="shared" si="129"/>
        <v>Anthony Dawson</v>
      </c>
      <c r="U916" t="str">
        <f t="shared" si="130"/>
        <v>Mouse</v>
      </c>
      <c r="V916">
        <f t="shared" si="131"/>
        <v>2026</v>
      </c>
      <c r="W916">
        <f t="shared" si="132"/>
        <v>1</v>
      </c>
      <c r="X916">
        <f t="shared" si="133"/>
        <v>15</v>
      </c>
      <c r="Y916" t="str">
        <f t="shared" si="134"/>
        <v>Jan</v>
      </c>
      <c r="Z916">
        <f t="shared" si="135"/>
        <v>9</v>
      </c>
    </row>
    <row r="917" spans="1:26" ht="15.75" customHeight="1" x14ac:dyDescent="0.3">
      <c r="A917" s="2" t="s">
        <v>2106</v>
      </c>
      <c r="B917" s="2" t="s">
        <v>2107</v>
      </c>
      <c r="C917" s="2" t="s">
        <v>195</v>
      </c>
      <c r="D917" s="2" t="s">
        <v>43</v>
      </c>
      <c r="E917" s="2" t="s">
        <v>25</v>
      </c>
      <c r="F917" s="2">
        <v>5</v>
      </c>
      <c r="G917" s="2">
        <v>430.74</v>
      </c>
      <c r="H917" s="2">
        <v>2153.6999999999998</v>
      </c>
      <c r="I917" s="2">
        <v>1865.32</v>
      </c>
      <c r="J917" s="2">
        <v>288.38</v>
      </c>
      <c r="K917" s="3">
        <v>45836</v>
      </c>
      <c r="L917" s="3">
        <v>45839</v>
      </c>
      <c r="M917" s="2" t="s">
        <v>38</v>
      </c>
      <c r="N917" s="2">
        <v>2</v>
      </c>
      <c r="O917" s="2" t="s">
        <v>1191</v>
      </c>
      <c r="P917" s="25">
        <v>7.5</v>
      </c>
      <c r="Q917" t="str">
        <f t="shared" si="128"/>
        <v>0916</v>
      </c>
      <c r="R917" t="str">
        <f>IF('RETAIL SALES DATA.'!H917&gt;AVERAGE('RETAIL SALES DATA.'!H917:H1916),"HIGHEST VALUE","LOWEST VALUE")</f>
        <v>LOWEST VALUE</v>
      </c>
      <c r="S917" t="str">
        <f t="shared" si="136"/>
        <v>Profit</v>
      </c>
      <c r="T917" t="str">
        <f t="shared" si="129"/>
        <v>Judy Allison</v>
      </c>
      <c r="U917" t="str">
        <f t="shared" si="130"/>
        <v>Monitor</v>
      </c>
      <c r="V917">
        <f t="shared" si="131"/>
        <v>2025</v>
      </c>
      <c r="W917">
        <f t="shared" si="132"/>
        <v>7</v>
      </c>
      <c r="X917">
        <f t="shared" si="133"/>
        <v>28</v>
      </c>
      <c r="Y917" t="str">
        <f t="shared" si="134"/>
        <v>Jun</v>
      </c>
      <c r="Z917">
        <f t="shared" si="135"/>
        <v>3</v>
      </c>
    </row>
    <row r="918" spans="1:26" ht="15.75" customHeight="1" x14ac:dyDescent="0.3">
      <c r="A918" s="2" t="s">
        <v>2108</v>
      </c>
      <c r="B918" s="2" t="s">
        <v>2109</v>
      </c>
      <c r="C918" s="2" t="s">
        <v>88</v>
      </c>
      <c r="D918" s="2" t="s">
        <v>31</v>
      </c>
      <c r="E918" s="2" t="s">
        <v>44</v>
      </c>
      <c r="F918" s="2">
        <v>5</v>
      </c>
      <c r="G918" s="2">
        <v>3815.44</v>
      </c>
      <c r="H918" s="2">
        <v>19077.2</v>
      </c>
      <c r="I918" s="2">
        <v>16315.96</v>
      </c>
      <c r="J918" s="2">
        <v>2761.24</v>
      </c>
      <c r="K918" s="3">
        <v>45828</v>
      </c>
      <c r="L918" s="3">
        <v>45830</v>
      </c>
      <c r="M918" s="2" t="s">
        <v>33</v>
      </c>
      <c r="N918" s="2">
        <v>1</v>
      </c>
      <c r="O918" s="2" t="s">
        <v>2110</v>
      </c>
      <c r="P918" s="25">
        <v>7.2</v>
      </c>
      <c r="Q918" t="str">
        <f t="shared" si="128"/>
        <v>0917</v>
      </c>
      <c r="R918" t="str">
        <f>IF('RETAIL SALES DATA.'!H918&gt;AVERAGE('RETAIL SALES DATA.'!H918:H1917),"HIGHEST VALUE","LOWEST VALUE")</f>
        <v>LOWEST VALUE</v>
      </c>
      <c r="S918" t="str">
        <f t="shared" si="136"/>
        <v>Profit</v>
      </c>
      <c r="T918" t="str">
        <f t="shared" si="129"/>
        <v>Tina Griffith</v>
      </c>
      <c r="U918" t="str">
        <f t="shared" si="130"/>
        <v>Cupboard</v>
      </c>
      <c r="V918">
        <f t="shared" si="131"/>
        <v>2025</v>
      </c>
      <c r="W918">
        <f t="shared" si="132"/>
        <v>6</v>
      </c>
      <c r="X918">
        <f t="shared" si="133"/>
        <v>20</v>
      </c>
      <c r="Y918" t="str">
        <f t="shared" si="134"/>
        <v>Jun</v>
      </c>
      <c r="Z918">
        <f t="shared" si="135"/>
        <v>2</v>
      </c>
    </row>
    <row r="919" spans="1:26" ht="15.75" customHeight="1" x14ac:dyDescent="0.3">
      <c r="A919" s="2" t="s">
        <v>2111</v>
      </c>
      <c r="B919" s="2" t="s">
        <v>2112</v>
      </c>
      <c r="C919" s="2" t="s">
        <v>95</v>
      </c>
      <c r="D919" s="2" t="s">
        <v>19</v>
      </c>
      <c r="E919" s="2" t="s">
        <v>20</v>
      </c>
      <c r="F919" s="2">
        <v>2</v>
      </c>
      <c r="G919" s="2">
        <v>1650.59</v>
      </c>
      <c r="H919" s="2">
        <v>3301.18</v>
      </c>
      <c r="I919" s="2">
        <v>2174.58</v>
      </c>
      <c r="J919" s="2">
        <v>1126.5999999999999</v>
      </c>
      <c r="K919" s="3">
        <v>45511</v>
      </c>
      <c r="L919" s="3">
        <v>45519</v>
      </c>
      <c r="M919" s="2" t="s">
        <v>21</v>
      </c>
      <c r="N919" s="2">
        <v>5</v>
      </c>
      <c r="O919" s="2" t="s">
        <v>894</v>
      </c>
      <c r="P919" s="25">
        <v>7.4</v>
      </c>
      <c r="Q919" t="str">
        <f t="shared" si="128"/>
        <v>0918</v>
      </c>
      <c r="R919" t="str">
        <f>IF('RETAIL SALES DATA.'!H919&gt;AVERAGE('RETAIL SALES DATA.'!H919:H1918),"HIGHEST VALUE","LOWEST VALUE")</f>
        <v>LOWEST VALUE</v>
      </c>
      <c r="S919" t="str">
        <f t="shared" si="136"/>
        <v>Profit</v>
      </c>
      <c r="T919" t="str">
        <f t="shared" si="129"/>
        <v>Carol Malone</v>
      </c>
      <c r="U919" t="str">
        <f t="shared" si="130"/>
        <v>Printer</v>
      </c>
      <c r="V919">
        <f t="shared" si="131"/>
        <v>2024</v>
      </c>
      <c r="W919">
        <f t="shared" si="132"/>
        <v>8</v>
      </c>
      <c r="X919">
        <f t="shared" si="133"/>
        <v>7</v>
      </c>
      <c r="Y919" t="str">
        <f t="shared" si="134"/>
        <v>Aug</v>
      </c>
      <c r="Z919">
        <f t="shared" si="135"/>
        <v>8</v>
      </c>
    </row>
    <row r="920" spans="1:26" ht="15.75" customHeight="1" x14ac:dyDescent="0.3">
      <c r="A920" s="2" t="s">
        <v>2113</v>
      </c>
      <c r="B920" s="2" t="s">
        <v>2114</v>
      </c>
      <c r="C920" s="2" t="s">
        <v>219</v>
      </c>
      <c r="D920" s="2" t="s">
        <v>43</v>
      </c>
      <c r="E920" s="2" t="s">
        <v>44</v>
      </c>
      <c r="F920" s="2">
        <v>10</v>
      </c>
      <c r="G920" s="2">
        <v>4444.0600000000004</v>
      </c>
      <c r="H920" s="2">
        <v>44440.6</v>
      </c>
      <c r="I920" s="2">
        <v>23517.64</v>
      </c>
      <c r="J920" s="2">
        <v>20922.96</v>
      </c>
      <c r="K920" s="3">
        <v>46052</v>
      </c>
      <c r="L920" s="3">
        <v>46055</v>
      </c>
      <c r="M920" s="2" t="s">
        <v>123</v>
      </c>
      <c r="N920" s="2">
        <v>5</v>
      </c>
      <c r="O920" s="2" t="s">
        <v>63</v>
      </c>
      <c r="P920" s="25">
        <v>9.5</v>
      </c>
      <c r="Q920" t="str">
        <f t="shared" si="128"/>
        <v>0919</v>
      </c>
      <c r="R920" t="str">
        <f>IF('RETAIL SALES DATA.'!H920&gt;AVERAGE('RETAIL SALES DATA.'!H920:H1919),"HIGHEST VALUE","LOWEST VALUE")</f>
        <v>HIGHEST VALUE</v>
      </c>
      <c r="S920" t="str">
        <f t="shared" si="136"/>
        <v>Profit</v>
      </c>
      <c r="T920" t="str">
        <f t="shared" si="129"/>
        <v>Mary Arnold</v>
      </c>
      <c r="U920" t="str">
        <f t="shared" si="130"/>
        <v>Smartphone</v>
      </c>
      <c r="V920">
        <f t="shared" si="131"/>
        <v>2026</v>
      </c>
      <c r="W920">
        <f t="shared" si="132"/>
        <v>2</v>
      </c>
      <c r="X920">
        <f t="shared" si="133"/>
        <v>30</v>
      </c>
      <c r="Y920" t="str">
        <f t="shared" si="134"/>
        <v>Jan</v>
      </c>
      <c r="Z920">
        <f t="shared" si="135"/>
        <v>3</v>
      </c>
    </row>
    <row r="921" spans="1:26" ht="15.75" customHeight="1" x14ac:dyDescent="0.3">
      <c r="A921" s="2" t="s">
        <v>2115</v>
      </c>
      <c r="B921" s="2" t="s">
        <v>2116</v>
      </c>
      <c r="C921" s="2" t="s">
        <v>168</v>
      </c>
      <c r="D921" s="2" t="s">
        <v>43</v>
      </c>
      <c r="E921" s="2" t="s">
        <v>32</v>
      </c>
      <c r="F921" s="2">
        <v>1</v>
      </c>
      <c r="G921" s="2">
        <v>426.41</v>
      </c>
      <c r="H921" s="2">
        <v>426.41</v>
      </c>
      <c r="I921" s="2">
        <v>294.14999999999998</v>
      </c>
      <c r="J921" s="2">
        <v>132.26</v>
      </c>
      <c r="K921" s="3">
        <v>45641</v>
      </c>
      <c r="L921" s="3">
        <v>45643</v>
      </c>
      <c r="M921" s="2" t="s">
        <v>123</v>
      </c>
      <c r="N921" s="2">
        <v>3</v>
      </c>
      <c r="O921" s="2" t="s">
        <v>136</v>
      </c>
      <c r="P921" s="25">
        <v>8.1</v>
      </c>
      <c r="Q921" t="str">
        <f t="shared" si="128"/>
        <v>0920</v>
      </c>
      <c r="R921" t="str">
        <f>IF('RETAIL SALES DATA.'!H921&gt;AVERAGE('RETAIL SALES DATA.'!H921:H1920),"HIGHEST VALUE","LOWEST VALUE")</f>
        <v>LOWEST VALUE</v>
      </c>
      <c r="S921" t="str">
        <f t="shared" si="136"/>
        <v>Profit</v>
      </c>
      <c r="T921" t="str">
        <f t="shared" si="129"/>
        <v>Amanda Lambert</v>
      </c>
      <c r="U921" t="str">
        <f t="shared" si="130"/>
        <v>Keyboard</v>
      </c>
      <c r="V921">
        <f t="shared" si="131"/>
        <v>2024</v>
      </c>
      <c r="W921">
        <f t="shared" si="132"/>
        <v>12</v>
      </c>
      <c r="X921">
        <f t="shared" si="133"/>
        <v>15</v>
      </c>
      <c r="Y921" t="str">
        <f t="shared" si="134"/>
        <v>Dec</v>
      </c>
      <c r="Z921">
        <f t="shared" si="135"/>
        <v>2</v>
      </c>
    </row>
    <row r="922" spans="1:26" ht="15.75" customHeight="1" x14ac:dyDescent="0.3">
      <c r="A922" s="2" t="s">
        <v>2117</v>
      </c>
      <c r="B922" s="2" t="s">
        <v>2118</v>
      </c>
      <c r="C922" s="2" t="s">
        <v>62</v>
      </c>
      <c r="D922" s="2" t="s">
        <v>31</v>
      </c>
      <c r="E922" s="2" t="s">
        <v>20</v>
      </c>
      <c r="F922" s="2">
        <v>18</v>
      </c>
      <c r="G922" s="2">
        <v>3852.16</v>
      </c>
      <c r="H922" s="2">
        <v>69338.880000000005</v>
      </c>
      <c r="I922" s="2">
        <v>40844.879999999997</v>
      </c>
      <c r="J922" s="2">
        <v>28494</v>
      </c>
      <c r="K922" s="3">
        <v>45854</v>
      </c>
      <c r="L922" s="3">
        <v>45856</v>
      </c>
      <c r="M922" s="2" t="s">
        <v>26</v>
      </c>
      <c r="N922" s="2">
        <v>1</v>
      </c>
      <c r="O922" s="2" t="s">
        <v>297</v>
      </c>
      <c r="P922" s="25">
        <v>8</v>
      </c>
      <c r="Q922" t="str">
        <f t="shared" si="128"/>
        <v>0921</v>
      </c>
      <c r="R922" t="str">
        <f>IF('RETAIL SALES DATA.'!H922&gt;AVERAGE('RETAIL SALES DATA.'!H922:H1921),"HIGHEST VALUE","LOWEST VALUE")</f>
        <v>HIGHEST VALUE</v>
      </c>
      <c r="S922" t="str">
        <f t="shared" si="136"/>
        <v>Profit</v>
      </c>
      <c r="T922" t="str">
        <f t="shared" si="129"/>
        <v>Tom Le</v>
      </c>
      <c r="U922" t="str">
        <f t="shared" si="130"/>
        <v>Table</v>
      </c>
      <c r="V922">
        <f t="shared" si="131"/>
        <v>2025</v>
      </c>
      <c r="W922">
        <f t="shared" si="132"/>
        <v>7</v>
      </c>
      <c r="X922">
        <f t="shared" si="133"/>
        <v>16</v>
      </c>
      <c r="Y922" t="str">
        <f t="shared" si="134"/>
        <v>Jul</v>
      </c>
      <c r="Z922">
        <f t="shared" si="135"/>
        <v>2</v>
      </c>
    </row>
    <row r="923" spans="1:26" ht="15.75" customHeight="1" x14ac:dyDescent="0.3">
      <c r="A923" s="2" t="s">
        <v>2119</v>
      </c>
      <c r="B923" s="2" t="s">
        <v>2120</v>
      </c>
      <c r="C923" s="2" t="s">
        <v>219</v>
      </c>
      <c r="D923" s="2" t="s">
        <v>43</v>
      </c>
      <c r="E923" s="2" t="s">
        <v>32</v>
      </c>
      <c r="F923" s="2">
        <v>7</v>
      </c>
      <c r="G923" s="2">
        <v>4931.63</v>
      </c>
      <c r="H923" s="2">
        <v>34521.410000000003</v>
      </c>
      <c r="I923" s="2">
        <v>26140.639999999999</v>
      </c>
      <c r="J923" s="2">
        <v>8380.77</v>
      </c>
      <c r="K923" s="3">
        <v>45825</v>
      </c>
      <c r="L923" s="3">
        <v>45828</v>
      </c>
      <c r="M923" s="2" t="s">
        <v>58</v>
      </c>
      <c r="N923" s="2">
        <v>1</v>
      </c>
      <c r="O923" s="2" t="s">
        <v>692</v>
      </c>
      <c r="P923" s="25">
        <v>6.9</v>
      </c>
      <c r="Q923" t="str">
        <f t="shared" si="128"/>
        <v>0922</v>
      </c>
      <c r="R923" t="str">
        <f>IF('RETAIL SALES DATA.'!H923&gt;AVERAGE('RETAIL SALES DATA.'!H923:H1922),"HIGHEST VALUE","LOWEST VALUE")</f>
        <v>HIGHEST VALUE</v>
      </c>
      <c r="S923" t="str">
        <f t="shared" si="136"/>
        <v>Profit</v>
      </c>
      <c r="T923" t="str">
        <f t="shared" si="129"/>
        <v>Gina Smith</v>
      </c>
      <c r="U923" t="str">
        <f t="shared" si="130"/>
        <v>Smartphone</v>
      </c>
      <c r="V923">
        <f t="shared" si="131"/>
        <v>2025</v>
      </c>
      <c r="W923">
        <f t="shared" si="132"/>
        <v>6</v>
      </c>
      <c r="X923">
        <f t="shared" si="133"/>
        <v>17</v>
      </c>
      <c r="Y923" t="str">
        <f t="shared" si="134"/>
        <v>Jun</v>
      </c>
      <c r="Z923">
        <f t="shared" si="135"/>
        <v>3</v>
      </c>
    </row>
    <row r="924" spans="1:26" ht="15.75" customHeight="1" x14ac:dyDescent="0.3">
      <c r="A924" s="2" t="s">
        <v>2121</v>
      </c>
      <c r="B924" s="2" t="s">
        <v>2122</v>
      </c>
      <c r="C924" s="2" t="s">
        <v>30</v>
      </c>
      <c r="D924" s="2" t="s">
        <v>31</v>
      </c>
      <c r="E924" s="2" t="s">
        <v>32</v>
      </c>
      <c r="F924" s="2">
        <v>3</v>
      </c>
      <c r="G924" s="2">
        <v>2849.64</v>
      </c>
      <c r="H924" s="2">
        <v>8548.92</v>
      </c>
      <c r="I924" s="2">
        <v>6162.13</v>
      </c>
      <c r="J924" s="2">
        <v>2386.79</v>
      </c>
      <c r="K924" s="3">
        <v>46036</v>
      </c>
      <c r="L924" s="3">
        <v>46043</v>
      </c>
      <c r="M924" s="2" t="s">
        <v>58</v>
      </c>
      <c r="N924" s="2">
        <v>1</v>
      </c>
      <c r="O924" s="2" t="s">
        <v>1242</v>
      </c>
      <c r="P924" s="25">
        <v>9.6999999999999993</v>
      </c>
      <c r="Q924" t="str">
        <f t="shared" si="128"/>
        <v>0923</v>
      </c>
      <c r="R924" t="str">
        <f>IF('RETAIL SALES DATA.'!H924&gt;AVERAGE('RETAIL SALES DATA.'!H924:H1923),"HIGHEST VALUE","LOWEST VALUE")</f>
        <v>LOWEST VALUE</v>
      </c>
      <c r="S924" t="str">
        <f t="shared" si="136"/>
        <v>Profit</v>
      </c>
      <c r="T924" t="str">
        <f t="shared" si="129"/>
        <v>Monica Wilson</v>
      </c>
      <c r="U924" t="str">
        <f t="shared" si="130"/>
        <v>Desk</v>
      </c>
      <c r="V924">
        <f t="shared" si="131"/>
        <v>2026</v>
      </c>
      <c r="W924">
        <f t="shared" si="132"/>
        <v>1</v>
      </c>
      <c r="X924">
        <f t="shared" si="133"/>
        <v>14</v>
      </c>
      <c r="Y924" t="str">
        <f t="shared" si="134"/>
        <v>Jan</v>
      </c>
      <c r="Z924">
        <f t="shared" si="135"/>
        <v>7</v>
      </c>
    </row>
    <row r="925" spans="1:26" ht="15.75" customHeight="1" x14ac:dyDescent="0.3">
      <c r="A925" s="2" t="s">
        <v>2123</v>
      </c>
      <c r="B925" s="2" t="s">
        <v>2124</v>
      </c>
      <c r="C925" s="2" t="s">
        <v>95</v>
      </c>
      <c r="D925" s="2" t="s">
        <v>19</v>
      </c>
      <c r="E925" s="2" t="s">
        <v>32</v>
      </c>
      <c r="F925" s="2">
        <v>18</v>
      </c>
      <c r="G925" s="2">
        <v>2256.09</v>
      </c>
      <c r="H925" s="2">
        <v>40609.620000000003</v>
      </c>
      <c r="I925" s="2">
        <v>35826.76</v>
      </c>
      <c r="J925" s="2">
        <v>4782.8599999999997</v>
      </c>
      <c r="K925" s="3">
        <v>45930</v>
      </c>
      <c r="L925" s="3">
        <v>45936</v>
      </c>
      <c r="M925" s="2" t="s">
        <v>58</v>
      </c>
      <c r="N925" s="2">
        <v>1</v>
      </c>
      <c r="O925" s="2" t="s">
        <v>1086</v>
      </c>
      <c r="P925" s="25">
        <v>6.3</v>
      </c>
      <c r="Q925" t="str">
        <f t="shared" si="128"/>
        <v>0924</v>
      </c>
      <c r="R925" t="str">
        <f>IF('RETAIL SALES DATA.'!H925&gt;AVERAGE('RETAIL SALES DATA.'!H925:H1924),"HIGHEST VALUE","LOWEST VALUE")</f>
        <v>HIGHEST VALUE</v>
      </c>
      <c r="S925" t="str">
        <f t="shared" si="136"/>
        <v>Profit</v>
      </c>
      <c r="T925" t="str">
        <f t="shared" si="129"/>
        <v>Maxwell Miller</v>
      </c>
      <c r="U925" t="str">
        <f t="shared" si="130"/>
        <v>Printer</v>
      </c>
      <c r="V925">
        <f t="shared" si="131"/>
        <v>2025</v>
      </c>
      <c r="W925">
        <f t="shared" si="132"/>
        <v>10</v>
      </c>
      <c r="X925">
        <f t="shared" si="133"/>
        <v>30</v>
      </c>
      <c r="Y925" t="str">
        <f t="shared" si="134"/>
        <v>Sep</v>
      </c>
      <c r="Z925">
        <f t="shared" si="135"/>
        <v>6</v>
      </c>
    </row>
    <row r="926" spans="1:26" ht="15.75" customHeight="1" x14ac:dyDescent="0.3">
      <c r="A926" s="2" t="s">
        <v>2125</v>
      </c>
      <c r="B926" s="2" t="s">
        <v>2126</v>
      </c>
      <c r="C926" s="2" t="s">
        <v>30</v>
      </c>
      <c r="D926" s="2" t="s">
        <v>31</v>
      </c>
      <c r="E926" s="2" t="s">
        <v>44</v>
      </c>
      <c r="F926" s="2">
        <v>2</v>
      </c>
      <c r="G926" s="2">
        <v>1801.82</v>
      </c>
      <c r="H926" s="2">
        <v>3603.64</v>
      </c>
      <c r="I926" s="2">
        <v>2475.23</v>
      </c>
      <c r="J926" s="2">
        <v>1128.4100000000001</v>
      </c>
      <c r="K926" s="3">
        <v>45912</v>
      </c>
      <c r="L926" s="3">
        <v>45919</v>
      </c>
      <c r="M926" s="2" t="s">
        <v>45</v>
      </c>
      <c r="N926" s="2">
        <v>1</v>
      </c>
      <c r="O926" s="2" t="s">
        <v>2110</v>
      </c>
      <c r="P926" s="25">
        <v>8.1</v>
      </c>
      <c r="Q926" t="str">
        <f t="shared" si="128"/>
        <v>0925</v>
      </c>
      <c r="R926" t="str">
        <f>IF('RETAIL SALES DATA.'!H926&gt;AVERAGE('RETAIL SALES DATA.'!H926:H1925),"HIGHEST VALUE","LOWEST VALUE")</f>
        <v>LOWEST VALUE</v>
      </c>
      <c r="S926" t="str">
        <f t="shared" si="136"/>
        <v>Profit</v>
      </c>
      <c r="T926" t="str">
        <f t="shared" si="129"/>
        <v>Jonathan Phillips Dds</v>
      </c>
      <c r="U926" t="str">
        <f t="shared" si="130"/>
        <v>Desk</v>
      </c>
      <c r="V926">
        <f t="shared" si="131"/>
        <v>2025</v>
      </c>
      <c r="W926">
        <f t="shared" si="132"/>
        <v>9</v>
      </c>
      <c r="X926">
        <f t="shared" si="133"/>
        <v>12</v>
      </c>
      <c r="Y926" t="str">
        <f t="shared" si="134"/>
        <v>Sep</v>
      </c>
      <c r="Z926">
        <f t="shared" si="135"/>
        <v>7</v>
      </c>
    </row>
    <row r="927" spans="1:26" ht="15.75" customHeight="1" x14ac:dyDescent="0.3">
      <c r="A927" s="2" t="s">
        <v>2127</v>
      </c>
      <c r="B927" s="2" t="s">
        <v>2128</v>
      </c>
      <c r="C927" s="2" t="s">
        <v>168</v>
      </c>
      <c r="D927" s="2" t="s">
        <v>43</v>
      </c>
      <c r="E927" s="2" t="s">
        <v>32</v>
      </c>
      <c r="F927" s="2">
        <v>8</v>
      </c>
      <c r="G927" s="2">
        <v>1565.88</v>
      </c>
      <c r="H927" s="2">
        <v>12527.04</v>
      </c>
      <c r="I927" s="2">
        <v>9412.52</v>
      </c>
      <c r="J927" s="2">
        <v>3114.52</v>
      </c>
      <c r="K927" s="3">
        <v>45626</v>
      </c>
      <c r="L927" s="3">
        <v>45636</v>
      </c>
      <c r="M927" s="2" t="s">
        <v>69</v>
      </c>
      <c r="N927" s="2">
        <v>3</v>
      </c>
      <c r="O927" s="2" t="s">
        <v>406</v>
      </c>
      <c r="P927" s="25">
        <v>6.1</v>
      </c>
      <c r="Q927" t="str">
        <f t="shared" si="128"/>
        <v>0926</v>
      </c>
      <c r="R927" t="str">
        <f>IF('RETAIL SALES DATA.'!H927&gt;AVERAGE('RETAIL SALES DATA.'!H927:H1926),"HIGHEST VALUE","LOWEST VALUE")</f>
        <v>LOWEST VALUE</v>
      </c>
      <c r="S927" t="str">
        <f t="shared" si="136"/>
        <v>Profit</v>
      </c>
      <c r="T927" t="str">
        <f t="shared" si="129"/>
        <v>Brandon Sanford</v>
      </c>
      <c r="U927" t="str">
        <f t="shared" si="130"/>
        <v>Keyboard</v>
      </c>
      <c r="V927">
        <f t="shared" si="131"/>
        <v>2024</v>
      </c>
      <c r="W927">
        <f t="shared" si="132"/>
        <v>12</v>
      </c>
      <c r="X927">
        <f t="shared" si="133"/>
        <v>30</v>
      </c>
      <c r="Y927" t="str">
        <f t="shared" si="134"/>
        <v>Nov</v>
      </c>
      <c r="Z927">
        <f t="shared" si="135"/>
        <v>10</v>
      </c>
    </row>
    <row r="928" spans="1:26" ht="15.75" customHeight="1" x14ac:dyDescent="0.3">
      <c r="A928" s="2" t="s">
        <v>2129</v>
      </c>
      <c r="B928" s="2" t="s">
        <v>2130</v>
      </c>
      <c r="C928" s="2" t="s">
        <v>139</v>
      </c>
      <c r="D928" s="2" t="s">
        <v>31</v>
      </c>
      <c r="E928" s="2" t="s">
        <v>25</v>
      </c>
      <c r="F928" s="2">
        <v>9</v>
      </c>
      <c r="G928" s="2">
        <v>1274.8599999999999</v>
      </c>
      <c r="H928" s="2">
        <v>11473.74</v>
      </c>
      <c r="I928" s="2">
        <v>8033.12</v>
      </c>
      <c r="J928" s="2">
        <v>3440.62</v>
      </c>
      <c r="K928" s="3">
        <v>45888</v>
      </c>
      <c r="L928" s="3">
        <v>45892</v>
      </c>
      <c r="M928" s="2" t="s">
        <v>181</v>
      </c>
      <c r="N928" s="2">
        <v>2</v>
      </c>
      <c r="O928" s="2" t="s">
        <v>594</v>
      </c>
      <c r="P928" s="25">
        <v>7.9</v>
      </c>
      <c r="Q928" t="str">
        <f t="shared" si="128"/>
        <v>0927</v>
      </c>
      <c r="R928" t="str">
        <f>IF('RETAIL SALES DATA.'!H928&gt;AVERAGE('RETAIL SALES DATA.'!H928:H1927),"HIGHEST VALUE","LOWEST VALUE")</f>
        <v>LOWEST VALUE</v>
      </c>
      <c r="S928" t="str">
        <f t="shared" si="136"/>
        <v>Profit</v>
      </c>
      <c r="T928" t="str">
        <f t="shared" si="129"/>
        <v>Felicia Smith</v>
      </c>
      <c r="U928" t="str">
        <f t="shared" si="130"/>
        <v>Sofa</v>
      </c>
      <c r="V928">
        <f t="shared" si="131"/>
        <v>2025</v>
      </c>
      <c r="W928">
        <f t="shared" si="132"/>
        <v>8</v>
      </c>
      <c r="X928">
        <f t="shared" si="133"/>
        <v>19</v>
      </c>
      <c r="Y928" t="str">
        <f t="shared" si="134"/>
        <v>Aug</v>
      </c>
      <c r="Z928">
        <f t="shared" si="135"/>
        <v>4</v>
      </c>
    </row>
    <row r="929" spans="1:26" ht="15.75" customHeight="1" x14ac:dyDescent="0.3">
      <c r="A929" s="2" t="s">
        <v>2131</v>
      </c>
      <c r="B929" s="2" t="s">
        <v>2132</v>
      </c>
      <c r="C929" s="2" t="s">
        <v>42</v>
      </c>
      <c r="D929" s="2" t="s">
        <v>43</v>
      </c>
      <c r="E929" s="2" t="s">
        <v>25</v>
      </c>
      <c r="F929" s="2">
        <v>3</v>
      </c>
      <c r="G929" s="2">
        <v>951.57</v>
      </c>
      <c r="H929" s="2">
        <v>2854.71</v>
      </c>
      <c r="I929" s="2">
        <v>2019.16</v>
      </c>
      <c r="J929" s="2">
        <v>835.55</v>
      </c>
      <c r="K929" s="3">
        <v>45854</v>
      </c>
      <c r="L929" s="3">
        <v>45856</v>
      </c>
      <c r="M929" s="2" t="s">
        <v>181</v>
      </c>
      <c r="N929" s="2">
        <v>1</v>
      </c>
      <c r="O929" s="2" t="s">
        <v>76</v>
      </c>
      <c r="P929" s="25">
        <v>6.9</v>
      </c>
      <c r="Q929" t="str">
        <f t="shared" si="128"/>
        <v>0928</v>
      </c>
      <c r="R929" t="str">
        <f>IF('RETAIL SALES DATA.'!H929&gt;AVERAGE('RETAIL SALES DATA.'!H929:H1928),"HIGHEST VALUE","LOWEST VALUE")</f>
        <v>LOWEST VALUE</v>
      </c>
      <c r="S929" t="str">
        <f t="shared" si="136"/>
        <v>Profit</v>
      </c>
      <c r="T929" t="str">
        <f t="shared" si="129"/>
        <v>Sean Barnett</v>
      </c>
      <c r="U929" t="str">
        <f t="shared" si="130"/>
        <v>Laptop</v>
      </c>
      <c r="V929">
        <f t="shared" si="131"/>
        <v>2025</v>
      </c>
      <c r="W929">
        <f t="shared" si="132"/>
        <v>7</v>
      </c>
      <c r="X929">
        <f t="shared" si="133"/>
        <v>16</v>
      </c>
      <c r="Y929" t="str">
        <f t="shared" si="134"/>
        <v>Jul</v>
      </c>
      <c r="Z929">
        <f t="shared" si="135"/>
        <v>2</v>
      </c>
    </row>
    <row r="930" spans="1:26" ht="15.75" customHeight="1" x14ac:dyDescent="0.3">
      <c r="A930" s="2" t="s">
        <v>2133</v>
      </c>
      <c r="B930" s="2" t="s">
        <v>2134</v>
      </c>
      <c r="C930" s="2" t="s">
        <v>88</v>
      </c>
      <c r="D930" s="2" t="s">
        <v>31</v>
      </c>
      <c r="E930" s="2" t="s">
        <v>20</v>
      </c>
      <c r="F930" s="2">
        <v>14</v>
      </c>
      <c r="G930" s="2">
        <v>4916.7700000000004</v>
      </c>
      <c r="H930" s="2">
        <v>68834.78</v>
      </c>
      <c r="I930" s="2">
        <v>61604.63</v>
      </c>
      <c r="J930" s="2">
        <v>7230.15</v>
      </c>
      <c r="K930" s="3">
        <v>45618</v>
      </c>
      <c r="L930" s="3">
        <v>45626</v>
      </c>
      <c r="M930" s="2" t="s">
        <v>33</v>
      </c>
      <c r="N930" s="2">
        <v>4</v>
      </c>
      <c r="O930" s="2" t="s">
        <v>208</v>
      </c>
      <c r="P930" s="25">
        <v>8.8000000000000007</v>
      </c>
      <c r="Q930" t="str">
        <f t="shared" si="128"/>
        <v>0929</v>
      </c>
      <c r="R930" t="str">
        <f>IF('RETAIL SALES DATA.'!H930&gt;AVERAGE('RETAIL SALES DATA.'!H930:H1929),"HIGHEST VALUE","LOWEST VALUE")</f>
        <v>HIGHEST VALUE</v>
      </c>
      <c r="S930" t="str">
        <f t="shared" si="136"/>
        <v>Profit</v>
      </c>
      <c r="T930" t="str">
        <f t="shared" si="129"/>
        <v>Laura Holt</v>
      </c>
      <c r="U930" t="str">
        <f t="shared" si="130"/>
        <v>Cupboard</v>
      </c>
      <c r="V930">
        <f t="shared" si="131"/>
        <v>2024</v>
      </c>
      <c r="W930">
        <f t="shared" si="132"/>
        <v>11</v>
      </c>
      <c r="X930">
        <f t="shared" si="133"/>
        <v>22</v>
      </c>
      <c r="Y930" t="str">
        <f t="shared" si="134"/>
        <v>Nov</v>
      </c>
      <c r="Z930">
        <f t="shared" si="135"/>
        <v>8</v>
      </c>
    </row>
    <row r="931" spans="1:26" ht="15.75" customHeight="1" x14ac:dyDescent="0.3">
      <c r="A931" s="2" t="s">
        <v>2135</v>
      </c>
      <c r="B931" s="2" t="s">
        <v>2136</v>
      </c>
      <c r="C931" s="2" t="s">
        <v>88</v>
      </c>
      <c r="D931" s="2" t="s">
        <v>31</v>
      </c>
      <c r="E931" s="2" t="s">
        <v>44</v>
      </c>
      <c r="F931" s="2">
        <v>3</v>
      </c>
      <c r="G931" s="2">
        <v>1506.43</v>
      </c>
      <c r="H931" s="2">
        <v>4519.29</v>
      </c>
      <c r="I931" s="2">
        <v>2832.57</v>
      </c>
      <c r="J931" s="2">
        <v>1686.72</v>
      </c>
      <c r="K931" s="3">
        <v>45601</v>
      </c>
      <c r="L931" s="3">
        <v>45611</v>
      </c>
      <c r="M931" s="2" t="s">
        <v>26</v>
      </c>
      <c r="N931" s="2">
        <v>4</v>
      </c>
      <c r="O931" s="2" t="s">
        <v>509</v>
      </c>
      <c r="P931" s="25">
        <v>8.1999999999999993</v>
      </c>
      <c r="Q931" t="str">
        <f t="shared" si="128"/>
        <v>0930</v>
      </c>
      <c r="R931" t="str">
        <f>IF('RETAIL SALES DATA.'!H931&gt;AVERAGE('RETAIL SALES DATA.'!H931:H1930),"HIGHEST VALUE","LOWEST VALUE")</f>
        <v>LOWEST VALUE</v>
      </c>
      <c r="S931" t="str">
        <f t="shared" si="136"/>
        <v>Profit</v>
      </c>
      <c r="T931" t="str">
        <f t="shared" si="129"/>
        <v>Julie Miller</v>
      </c>
      <c r="U931" t="str">
        <f t="shared" si="130"/>
        <v>Cupboard</v>
      </c>
      <c r="V931">
        <f t="shared" si="131"/>
        <v>2024</v>
      </c>
      <c r="W931">
        <f t="shared" si="132"/>
        <v>11</v>
      </c>
      <c r="X931">
        <f t="shared" si="133"/>
        <v>5</v>
      </c>
      <c r="Y931" t="str">
        <f t="shared" si="134"/>
        <v>Nov</v>
      </c>
      <c r="Z931">
        <f t="shared" si="135"/>
        <v>10</v>
      </c>
    </row>
    <row r="932" spans="1:26" ht="15.75" customHeight="1" x14ac:dyDescent="0.3">
      <c r="A932" s="2" t="s">
        <v>2137</v>
      </c>
      <c r="B932" s="2" t="s">
        <v>2138</v>
      </c>
      <c r="C932" s="2" t="s">
        <v>49</v>
      </c>
      <c r="D932" s="2" t="s">
        <v>43</v>
      </c>
      <c r="E932" s="2" t="s">
        <v>44</v>
      </c>
      <c r="F932" s="2">
        <v>20</v>
      </c>
      <c r="G932" s="2">
        <v>2763.52</v>
      </c>
      <c r="H932" s="2">
        <v>55270.400000000001</v>
      </c>
      <c r="I932" s="2">
        <v>48976.36</v>
      </c>
      <c r="J932" s="2">
        <v>6294.04</v>
      </c>
      <c r="K932" s="3">
        <v>46042</v>
      </c>
      <c r="L932" s="3">
        <v>46046</v>
      </c>
      <c r="M932" s="2" t="s">
        <v>50</v>
      </c>
      <c r="N932" s="2">
        <v>5</v>
      </c>
      <c r="O932" s="2" t="s">
        <v>79</v>
      </c>
      <c r="P932" s="25">
        <v>8</v>
      </c>
      <c r="Q932" t="str">
        <f t="shared" si="128"/>
        <v>0931</v>
      </c>
      <c r="R932" t="str">
        <f>IF('RETAIL SALES DATA.'!H932&gt;AVERAGE('RETAIL SALES DATA.'!H932:H1931),"HIGHEST VALUE","LOWEST VALUE")</f>
        <v>HIGHEST VALUE</v>
      </c>
      <c r="S932" t="str">
        <f t="shared" si="136"/>
        <v>Profit</v>
      </c>
      <c r="T932" t="str">
        <f t="shared" si="129"/>
        <v>Jason Kim</v>
      </c>
      <c r="U932" t="str">
        <f t="shared" si="130"/>
        <v>Mouse</v>
      </c>
      <c r="V932">
        <f t="shared" si="131"/>
        <v>2026</v>
      </c>
      <c r="W932">
        <f t="shared" si="132"/>
        <v>1</v>
      </c>
      <c r="X932">
        <f t="shared" si="133"/>
        <v>20</v>
      </c>
      <c r="Y932" t="str">
        <f t="shared" si="134"/>
        <v>Jan</v>
      </c>
      <c r="Z932">
        <f t="shared" si="135"/>
        <v>4</v>
      </c>
    </row>
    <row r="933" spans="1:26" ht="15.75" customHeight="1" x14ac:dyDescent="0.3">
      <c r="A933" s="2" t="s">
        <v>2139</v>
      </c>
      <c r="B933" s="2" t="s">
        <v>2140</v>
      </c>
      <c r="C933" s="2" t="s">
        <v>42</v>
      </c>
      <c r="D933" s="2" t="s">
        <v>43</v>
      </c>
      <c r="E933" s="2" t="s">
        <v>44</v>
      </c>
      <c r="F933" s="2">
        <v>6</v>
      </c>
      <c r="G933" s="2">
        <v>3195.54</v>
      </c>
      <c r="H933" s="2">
        <v>19173.240000000002</v>
      </c>
      <c r="I933" s="2">
        <v>11355.67</v>
      </c>
      <c r="J933" s="2">
        <v>7817.57</v>
      </c>
      <c r="K933" s="3">
        <v>45549</v>
      </c>
      <c r="L933" s="3">
        <v>45557</v>
      </c>
      <c r="M933" s="2" t="s">
        <v>123</v>
      </c>
      <c r="N933" s="2">
        <v>5</v>
      </c>
      <c r="O933" s="2" t="s">
        <v>205</v>
      </c>
      <c r="P933" s="25">
        <v>6.6</v>
      </c>
      <c r="Q933" t="str">
        <f t="shared" si="128"/>
        <v>0932</v>
      </c>
      <c r="R933" t="str">
        <f>IF('RETAIL SALES DATA.'!H933&gt;AVERAGE('RETAIL SALES DATA.'!H933:H1932),"HIGHEST VALUE","LOWEST VALUE")</f>
        <v>LOWEST VALUE</v>
      </c>
      <c r="S933" t="str">
        <f t="shared" si="136"/>
        <v>Profit</v>
      </c>
      <c r="T933" t="str">
        <f t="shared" si="129"/>
        <v>Jennifer Evans</v>
      </c>
      <c r="U933" t="str">
        <f t="shared" si="130"/>
        <v>Laptop</v>
      </c>
      <c r="V933">
        <f t="shared" si="131"/>
        <v>2024</v>
      </c>
      <c r="W933">
        <f t="shared" si="132"/>
        <v>9</v>
      </c>
      <c r="X933">
        <f t="shared" si="133"/>
        <v>14</v>
      </c>
      <c r="Y933" t="str">
        <f t="shared" si="134"/>
        <v>Sep</v>
      </c>
      <c r="Z933">
        <f t="shared" si="135"/>
        <v>8</v>
      </c>
    </row>
    <row r="934" spans="1:26" ht="15.75" customHeight="1" x14ac:dyDescent="0.3">
      <c r="A934" s="2" t="s">
        <v>2141</v>
      </c>
      <c r="B934" s="2" t="s">
        <v>2142</v>
      </c>
      <c r="C934" s="2" t="s">
        <v>30</v>
      </c>
      <c r="D934" s="2" t="s">
        <v>31</v>
      </c>
      <c r="E934" s="2" t="s">
        <v>20</v>
      </c>
      <c r="F934" s="2">
        <v>5</v>
      </c>
      <c r="G934" s="2">
        <v>4948.1099999999997</v>
      </c>
      <c r="H934" s="2">
        <v>24740.55</v>
      </c>
      <c r="I934" s="2">
        <v>16459.53</v>
      </c>
      <c r="J934" s="2">
        <v>8281.02</v>
      </c>
      <c r="K934" s="3">
        <v>45805</v>
      </c>
      <c r="L934" s="3">
        <v>45815</v>
      </c>
      <c r="M934" s="2" t="s">
        <v>26</v>
      </c>
      <c r="N934" s="2">
        <v>5</v>
      </c>
      <c r="O934" s="2" t="s">
        <v>63</v>
      </c>
      <c r="P934" s="25">
        <v>9.1</v>
      </c>
      <c r="Q934" t="str">
        <f t="shared" si="128"/>
        <v>0933</v>
      </c>
      <c r="R934" t="str">
        <f>IF('RETAIL SALES DATA.'!H934&gt;AVERAGE('RETAIL SALES DATA.'!H934:H1933),"HIGHEST VALUE","LOWEST VALUE")</f>
        <v>LOWEST VALUE</v>
      </c>
      <c r="S934" t="str">
        <f t="shared" si="136"/>
        <v>Profit</v>
      </c>
      <c r="T934" t="str">
        <f t="shared" si="129"/>
        <v>Kathryn Taylor</v>
      </c>
      <c r="U934" t="str">
        <f t="shared" si="130"/>
        <v>Desk</v>
      </c>
      <c r="V934">
        <f t="shared" si="131"/>
        <v>2025</v>
      </c>
      <c r="W934">
        <f t="shared" si="132"/>
        <v>6</v>
      </c>
      <c r="X934">
        <f t="shared" si="133"/>
        <v>28</v>
      </c>
      <c r="Y934" t="str">
        <f t="shared" si="134"/>
        <v>May</v>
      </c>
      <c r="Z934">
        <f t="shared" si="135"/>
        <v>10</v>
      </c>
    </row>
    <row r="935" spans="1:26" ht="15.75" customHeight="1" x14ac:dyDescent="0.3">
      <c r="A935" s="2" t="s">
        <v>2143</v>
      </c>
      <c r="B935" s="2" t="s">
        <v>2144</v>
      </c>
      <c r="C935" s="2" t="s">
        <v>219</v>
      </c>
      <c r="D935" s="2" t="s">
        <v>43</v>
      </c>
      <c r="E935" s="2" t="s">
        <v>44</v>
      </c>
      <c r="F935" s="2">
        <v>11</v>
      </c>
      <c r="G935" s="2">
        <v>2680.18</v>
      </c>
      <c r="H935" s="2">
        <v>29481.98</v>
      </c>
      <c r="I935" s="2">
        <v>21851.82</v>
      </c>
      <c r="J935" s="2">
        <v>7630.16</v>
      </c>
      <c r="K935" s="3">
        <v>45683</v>
      </c>
      <c r="L935" s="3">
        <v>45685</v>
      </c>
      <c r="M935" s="2" t="s">
        <v>45</v>
      </c>
      <c r="N935" s="2">
        <v>3</v>
      </c>
      <c r="O935" s="2" t="s">
        <v>114</v>
      </c>
      <c r="P935" s="25">
        <v>7.5</v>
      </c>
      <c r="Q935" t="str">
        <f t="shared" si="128"/>
        <v>0934</v>
      </c>
      <c r="R935" t="str">
        <f>IF('RETAIL SALES DATA.'!H935&gt;AVERAGE('RETAIL SALES DATA.'!H935:H1934),"HIGHEST VALUE","LOWEST VALUE")</f>
        <v>LOWEST VALUE</v>
      </c>
      <c r="S935" t="str">
        <f t="shared" si="136"/>
        <v>Profit</v>
      </c>
      <c r="T935" t="str">
        <f t="shared" si="129"/>
        <v>Amy Perez</v>
      </c>
      <c r="U935" t="str">
        <f t="shared" si="130"/>
        <v>Smartphone</v>
      </c>
      <c r="V935">
        <f t="shared" si="131"/>
        <v>2025</v>
      </c>
      <c r="W935">
        <f t="shared" si="132"/>
        <v>1</v>
      </c>
      <c r="X935">
        <f t="shared" si="133"/>
        <v>26</v>
      </c>
      <c r="Y935" t="str">
        <f t="shared" si="134"/>
        <v>Jan</v>
      </c>
      <c r="Z935">
        <f t="shared" si="135"/>
        <v>2</v>
      </c>
    </row>
    <row r="936" spans="1:26" ht="15.75" customHeight="1" x14ac:dyDescent="0.3">
      <c r="A936" s="2" t="s">
        <v>2145</v>
      </c>
      <c r="B936" s="2" t="s">
        <v>2146</v>
      </c>
      <c r="C936" s="2" t="s">
        <v>88</v>
      </c>
      <c r="D936" s="2" t="s">
        <v>31</v>
      </c>
      <c r="E936" s="2" t="s">
        <v>44</v>
      </c>
      <c r="F936" s="2">
        <v>19</v>
      </c>
      <c r="G936" s="2">
        <v>2631.33</v>
      </c>
      <c r="H936" s="2">
        <v>49995.27</v>
      </c>
      <c r="I936" s="2">
        <v>29079.8</v>
      </c>
      <c r="J936" s="2">
        <v>20915.47</v>
      </c>
      <c r="K936" s="3">
        <v>45485</v>
      </c>
      <c r="L936" s="3">
        <v>45495</v>
      </c>
      <c r="M936" s="2" t="s">
        <v>69</v>
      </c>
      <c r="N936" s="2">
        <v>3</v>
      </c>
      <c r="O936" s="2" t="s">
        <v>764</v>
      </c>
      <c r="P936" s="25">
        <v>8.1999999999999993</v>
      </c>
      <c r="Q936" t="str">
        <f t="shared" si="128"/>
        <v>0935</v>
      </c>
      <c r="R936" t="str">
        <f>IF('RETAIL SALES DATA.'!H936&gt;AVERAGE('RETAIL SALES DATA.'!H936:H1935),"HIGHEST VALUE","LOWEST VALUE")</f>
        <v>HIGHEST VALUE</v>
      </c>
      <c r="S936" t="str">
        <f t="shared" si="136"/>
        <v>Profit</v>
      </c>
      <c r="T936" t="str">
        <f t="shared" si="129"/>
        <v>Vincent Hicks</v>
      </c>
      <c r="U936" t="str">
        <f t="shared" si="130"/>
        <v>Cupboard</v>
      </c>
      <c r="V936">
        <f t="shared" si="131"/>
        <v>2024</v>
      </c>
      <c r="W936">
        <f t="shared" si="132"/>
        <v>7</v>
      </c>
      <c r="X936">
        <f t="shared" si="133"/>
        <v>12</v>
      </c>
      <c r="Y936" t="str">
        <f t="shared" si="134"/>
        <v>Jul</v>
      </c>
      <c r="Z936">
        <f t="shared" si="135"/>
        <v>10</v>
      </c>
    </row>
    <row r="937" spans="1:26" ht="15.75" customHeight="1" x14ac:dyDescent="0.3">
      <c r="A937" s="2" t="s">
        <v>2147</v>
      </c>
      <c r="B937" s="2" t="s">
        <v>2148</v>
      </c>
      <c r="C937" s="2" t="s">
        <v>139</v>
      </c>
      <c r="D937" s="2" t="s">
        <v>31</v>
      </c>
      <c r="E937" s="2" t="s">
        <v>32</v>
      </c>
      <c r="F937" s="2">
        <v>2</v>
      </c>
      <c r="G937" s="2">
        <v>568.55999999999995</v>
      </c>
      <c r="H937" s="2">
        <v>1137.1199999999999</v>
      </c>
      <c r="I937" s="2">
        <v>902.48</v>
      </c>
      <c r="J937" s="2">
        <v>234.64</v>
      </c>
      <c r="K937" s="3">
        <v>45865</v>
      </c>
      <c r="L937" s="3">
        <v>45867</v>
      </c>
      <c r="M937" s="2" t="s">
        <v>50</v>
      </c>
      <c r="N937" s="2">
        <v>4</v>
      </c>
      <c r="O937" s="2" t="s">
        <v>96</v>
      </c>
      <c r="P937" s="25">
        <v>9.1</v>
      </c>
      <c r="Q937" t="str">
        <f t="shared" si="128"/>
        <v>0936</v>
      </c>
      <c r="R937" t="str">
        <f>IF('RETAIL SALES DATA.'!H937&gt;AVERAGE('RETAIL SALES DATA.'!H937:H1936),"HIGHEST VALUE","LOWEST VALUE")</f>
        <v>LOWEST VALUE</v>
      </c>
      <c r="S937" t="str">
        <f t="shared" si="136"/>
        <v>Profit</v>
      </c>
      <c r="T937" t="str">
        <f t="shared" si="129"/>
        <v>Ashley Patel</v>
      </c>
      <c r="U937" t="str">
        <f t="shared" si="130"/>
        <v>Sofa</v>
      </c>
      <c r="V937">
        <f t="shared" si="131"/>
        <v>2025</v>
      </c>
      <c r="W937">
        <f t="shared" si="132"/>
        <v>7</v>
      </c>
      <c r="X937">
        <f t="shared" si="133"/>
        <v>27</v>
      </c>
      <c r="Y937" t="str">
        <f t="shared" si="134"/>
        <v>Jul</v>
      </c>
      <c r="Z937">
        <f t="shared" si="135"/>
        <v>2</v>
      </c>
    </row>
    <row r="938" spans="1:26" ht="15.75" customHeight="1" x14ac:dyDescent="0.3">
      <c r="A938" s="2" t="s">
        <v>2149</v>
      </c>
      <c r="B938" s="2" t="s">
        <v>2150</v>
      </c>
      <c r="C938" s="2" t="s">
        <v>49</v>
      </c>
      <c r="D938" s="2" t="s">
        <v>43</v>
      </c>
      <c r="E938" s="2" t="s">
        <v>25</v>
      </c>
      <c r="F938" s="2">
        <v>9</v>
      </c>
      <c r="G938" s="2">
        <v>4595.1899999999996</v>
      </c>
      <c r="H938" s="2">
        <v>41356.71</v>
      </c>
      <c r="I938" s="2">
        <v>29786.85</v>
      </c>
      <c r="J938" s="2">
        <v>11569.86</v>
      </c>
      <c r="K938" s="3">
        <v>45551</v>
      </c>
      <c r="L938" s="3">
        <v>45557</v>
      </c>
      <c r="M938" s="2" t="s">
        <v>123</v>
      </c>
      <c r="N938" s="2">
        <v>2</v>
      </c>
      <c r="O938" s="2" t="s">
        <v>754</v>
      </c>
      <c r="P938" s="25">
        <v>8.4</v>
      </c>
      <c r="Q938" t="str">
        <f t="shared" si="128"/>
        <v>0937</v>
      </c>
      <c r="R938" t="str">
        <f>IF('RETAIL SALES DATA.'!H938&gt;AVERAGE('RETAIL SALES DATA.'!H938:H1937),"HIGHEST VALUE","LOWEST VALUE")</f>
        <v>HIGHEST VALUE</v>
      </c>
      <c r="S938" t="str">
        <f t="shared" si="136"/>
        <v>Profit</v>
      </c>
      <c r="T938" t="str">
        <f t="shared" si="129"/>
        <v>Ashley Brown</v>
      </c>
      <c r="U938" t="str">
        <f t="shared" si="130"/>
        <v>Mouse</v>
      </c>
      <c r="V938">
        <f t="shared" si="131"/>
        <v>2024</v>
      </c>
      <c r="W938">
        <f t="shared" si="132"/>
        <v>9</v>
      </c>
      <c r="X938">
        <f t="shared" si="133"/>
        <v>16</v>
      </c>
      <c r="Y938" t="str">
        <f t="shared" si="134"/>
        <v>Sep</v>
      </c>
      <c r="Z938">
        <f t="shared" si="135"/>
        <v>6</v>
      </c>
    </row>
    <row r="939" spans="1:26" ht="15.75" customHeight="1" x14ac:dyDescent="0.3">
      <c r="A939" s="2" t="s">
        <v>2151</v>
      </c>
      <c r="B939" s="2" t="s">
        <v>2152</v>
      </c>
      <c r="C939" s="2" t="s">
        <v>30</v>
      </c>
      <c r="D939" s="2" t="s">
        <v>31</v>
      </c>
      <c r="E939" s="2" t="s">
        <v>32</v>
      </c>
      <c r="F939" s="2">
        <v>15</v>
      </c>
      <c r="G939" s="2">
        <v>3038.58</v>
      </c>
      <c r="H939" s="2">
        <v>45578.7</v>
      </c>
      <c r="I939" s="2">
        <v>26276.22</v>
      </c>
      <c r="J939" s="2">
        <v>19302.48</v>
      </c>
      <c r="K939" s="3">
        <v>45887</v>
      </c>
      <c r="L939" s="3">
        <v>45889</v>
      </c>
      <c r="M939" s="2" t="s">
        <v>26</v>
      </c>
      <c r="N939" s="2">
        <v>4</v>
      </c>
      <c r="O939" s="2" t="s">
        <v>276</v>
      </c>
      <c r="P939" s="25">
        <v>6.1</v>
      </c>
      <c r="Q939" t="str">
        <f t="shared" si="128"/>
        <v>0938</v>
      </c>
      <c r="R939" t="str">
        <f>IF('RETAIL SALES DATA.'!H939&gt;AVERAGE('RETAIL SALES DATA.'!H939:H1938),"HIGHEST VALUE","LOWEST VALUE")</f>
        <v>HIGHEST VALUE</v>
      </c>
      <c r="S939" t="str">
        <f t="shared" si="136"/>
        <v>Profit</v>
      </c>
      <c r="T939" t="str">
        <f t="shared" si="129"/>
        <v>Peggy Daniels</v>
      </c>
      <c r="U939" t="str">
        <f t="shared" si="130"/>
        <v>Desk</v>
      </c>
      <c r="V939">
        <f t="shared" si="131"/>
        <v>2025</v>
      </c>
      <c r="W939">
        <f t="shared" si="132"/>
        <v>8</v>
      </c>
      <c r="X939">
        <f t="shared" si="133"/>
        <v>18</v>
      </c>
      <c r="Y939" t="str">
        <f t="shared" si="134"/>
        <v>Aug</v>
      </c>
      <c r="Z939">
        <f t="shared" si="135"/>
        <v>2</v>
      </c>
    </row>
    <row r="940" spans="1:26" ht="15.75" customHeight="1" x14ac:dyDescent="0.3">
      <c r="A940" s="2" t="s">
        <v>2153</v>
      </c>
      <c r="B940" s="2" t="s">
        <v>2154</v>
      </c>
      <c r="C940" s="2" t="s">
        <v>18</v>
      </c>
      <c r="D940" s="2" t="s">
        <v>19</v>
      </c>
      <c r="E940" s="2" t="s">
        <v>32</v>
      </c>
      <c r="F940" s="2">
        <v>5</v>
      </c>
      <c r="G940" s="2">
        <v>2633.22</v>
      </c>
      <c r="H940" s="2">
        <v>13166.1</v>
      </c>
      <c r="I940" s="2">
        <v>10295.61</v>
      </c>
      <c r="J940" s="2">
        <v>2870.49</v>
      </c>
      <c r="K940" s="3">
        <v>45720</v>
      </c>
      <c r="L940" s="3">
        <v>45725</v>
      </c>
      <c r="M940" s="2" t="s">
        <v>181</v>
      </c>
      <c r="N940" s="2">
        <v>5</v>
      </c>
      <c r="O940" s="2" t="s">
        <v>394</v>
      </c>
      <c r="P940" s="25">
        <v>8.6</v>
      </c>
      <c r="Q940" t="str">
        <f t="shared" si="128"/>
        <v>0939</v>
      </c>
      <c r="R940" t="str">
        <f>IF('RETAIL SALES DATA.'!H940&gt;AVERAGE('RETAIL SALES DATA.'!H940:H1939),"HIGHEST VALUE","LOWEST VALUE")</f>
        <v>LOWEST VALUE</v>
      </c>
      <c r="S940" t="str">
        <f t="shared" si="136"/>
        <v>Profit</v>
      </c>
      <c r="T940" t="str">
        <f t="shared" si="129"/>
        <v>Monique Rodriguez</v>
      </c>
      <c r="U940" t="str">
        <f t="shared" si="130"/>
        <v>Pen</v>
      </c>
      <c r="V940">
        <f t="shared" si="131"/>
        <v>2025</v>
      </c>
      <c r="W940">
        <f t="shared" si="132"/>
        <v>3</v>
      </c>
      <c r="X940">
        <f t="shared" si="133"/>
        <v>4</v>
      </c>
      <c r="Y940" t="str">
        <f t="shared" si="134"/>
        <v>Mar</v>
      </c>
      <c r="Z940">
        <f t="shared" si="135"/>
        <v>5</v>
      </c>
    </row>
    <row r="941" spans="1:26" ht="15.75" customHeight="1" x14ac:dyDescent="0.3">
      <c r="A941" s="2" t="s">
        <v>2155</v>
      </c>
      <c r="B941" s="2" t="s">
        <v>2156</v>
      </c>
      <c r="C941" s="2" t="s">
        <v>88</v>
      </c>
      <c r="D941" s="2" t="s">
        <v>31</v>
      </c>
      <c r="E941" s="2" t="s">
        <v>32</v>
      </c>
      <c r="F941" s="2">
        <v>12</v>
      </c>
      <c r="G941" s="2">
        <v>2303.15</v>
      </c>
      <c r="H941" s="2">
        <v>27637.8</v>
      </c>
      <c r="I941" s="2">
        <v>17596.07</v>
      </c>
      <c r="J941" s="2">
        <v>10041.73</v>
      </c>
      <c r="K941" s="3">
        <v>45782</v>
      </c>
      <c r="L941" s="3">
        <v>45790</v>
      </c>
      <c r="M941" s="2" t="s">
        <v>26</v>
      </c>
      <c r="N941" s="2">
        <v>4</v>
      </c>
      <c r="O941" s="2" t="s">
        <v>2157</v>
      </c>
      <c r="P941" s="25">
        <v>9.8000000000000007</v>
      </c>
      <c r="Q941" t="str">
        <f t="shared" si="128"/>
        <v>0940</v>
      </c>
      <c r="R941" t="str">
        <f>IF('RETAIL SALES DATA.'!H941&gt;AVERAGE('RETAIL SALES DATA.'!H941:H1940),"HIGHEST VALUE","LOWEST VALUE")</f>
        <v>LOWEST VALUE</v>
      </c>
      <c r="S941" t="str">
        <f t="shared" si="136"/>
        <v>Profit</v>
      </c>
      <c r="T941" t="str">
        <f t="shared" si="129"/>
        <v>Dawn Randall</v>
      </c>
      <c r="U941" t="str">
        <f t="shared" si="130"/>
        <v>Cupboard</v>
      </c>
      <c r="V941">
        <f t="shared" si="131"/>
        <v>2025</v>
      </c>
      <c r="W941">
        <f t="shared" si="132"/>
        <v>5</v>
      </c>
      <c r="X941">
        <f t="shared" si="133"/>
        <v>5</v>
      </c>
      <c r="Y941" t="str">
        <f t="shared" si="134"/>
        <v>May</v>
      </c>
      <c r="Z941">
        <f t="shared" si="135"/>
        <v>8</v>
      </c>
    </row>
    <row r="942" spans="1:26" ht="15.75" customHeight="1" x14ac:dyDescent="0.3">
      <c r="A942" s="2" t="s">
        <v>2158</v>
      </c>
      <c r="B942" s="2" t="s">
        <v>2159</v>
      </c>
      <c r="C942" s="2" t="s">
        <v>219</v>
      </c>
      <c r="D942" s="2" t="s">
        <v>43</v>
      </c>
      <c r="E942" s="2" t="s">
        <v>20</v>
      </c>
      <c r="F942" s="2">
        <v>20</v>
      </c>
      <c r="G942" s="2">
        <v>981.67</v>
      </c>
      <c r="H942" s="2">
        <v>19633.400000000001</v>
      </c>
      <c r="I942" s="2">
        <v>15120.95</v>
      </c>
      <c r="J942" s="2">
        <v>4512.45</v>
      </c>
      <c r="K942" s="3">
        <v>45436</v>
      </c>
      <c r="L942" s="3">
        <v>45437</v>
      </c>
      <c r="M942" s="2" t="s">
        <v>69</v>
      </c>
      <c r="N942" s="2">
        <v>2</v>
      </c>
      <c r="O942" s="2" t="s">
        <v>154</v>
      </c>
      <c r="P942" s="25">
        <v>9.4</v>
      </c>
      <c r="Q942" t="str">
        <f t="shared" si="128"/>
        <v>0941</v>
      </c>
      <c r="R942" t="str">
        <f>IF('RETAIL SALES DATA.'!H942&gt;AVERAGE('RETAIL SALES DATA.'!H942:H1941),"HIGHEST VALUE","LOWEST VALUE")</f>
        <v>LOWEST VALUE</v>
      </c>
      <c r="S942" t="str">
        <f t="shared" si="136"/>
        <v>Profit</v>
      </c>
      <c r="T942" t="str">
        <f t="shared" si="129"/>
        <v>Elizabeth Glass</v>
      </c>
      <c r="U942" t="str">
        <f t="shared" si="130"/>
        <v>Smartphone</v>
      </c>
      <c r="V942">
        <f t="shared" si="131"/>
        <v>2024</v>
      </c>
      <c r="W942">
        <f t="shared" si="132"/>
        <v>5</v>
      </c>
      <c r="X942">
        <f t="shared" si="133"/>
        <v>24</v>
      </c>
      <c r="Y942" t="str">
        <f t="shared" si="134"/>
        <v>May</v>
      </c>
      <c r="Z942">
        <f t="shared" si="135"/>
        <v>1</v>
      </c>
    </row>
    <row r="943" spans="1:26" ht="15.75" customHeight="1" x14ac:dyDescent="0.3">
      <c r="A943" s="2" t="s">
        <v>2160</v>
      </c>
      <c r="B943" s="2" t="s">
        <v>2161</v>
      </c>
      <c r="C943" s="2" t="s">
        <v>57</v>
      </c>
      <c r="D943" s="2" t="s">
        <v>19</v>
      </c>
      <c r="E943" s="2" t="s">
        <v>20</v>
      </c>
      <c r="F943" s="2">
        <v>19</v>
      </c>
      <c r="G943" s="2">
        <v>239.32</v>
      </c>
      <c r="H943" s="2">
        <v>4547.08</v>
      </c>
      <c r="I943" s="2">
        <v>2672.94</v>
      </c>
      <c r="J943" s="2">
        <v>1874.14</v>
      </c>
      <c r="K943" s="3">
        <v>46143</v>
      </c>
      <c r="L943" s="3">
        <v>46152</v>
      </c>
      <c r="M943" s="2" t="s">
        <v>181</v>
      </c>
      <c r="N943" s="2">
        <v>2</v>
      </c>
      <c r="O943" s="2" t="s">
        <v>85</v>
      </c>
      <c r="P943" s="25">
        <v>8.6</v>
      </c>
      <c r="Q943" t="str">
        <f t="shared" si="128"/>
        <v>0942</v>
      </c>
      <c r="R943" t="str">
        <f>IF('RETAIL SALES DATA.'!H943&gt;AVERAGE('RETAIL SALES DATA.'!H943:H1942),"HIGHEST VALUE","LOWEST VALUE")</f>
        <v>LOWEST VALUE</v>
      </c>
      <c r="S943" t="str">
        <f t="shared" si="136"/>
        <v>Profit</v>
      </c>
      <c r="T943" t="str">
        <f t="shared" si="129"/>
        <v>Timothy Owens</v>
      </c>
      <c r="U943" t="str">
        <f t="shared" si="130"/>
        <v>Notebook</v>
      </c>
      <c r="V943">
        <f t="shared" si="131"/>
        <v>2026</v>
      </c>
      <c r="W943">
        <f t="shared" si="132"/>
        <v>5</v>
      </c>
      <c r="X943">
        <f t="shared" si="133"/>
        <v>1</v>
      </c>
      <c r="Y943" t="str">
        <f t="shared" si="134"/>
        <v>May</v>
      </c>
      <c r="Z943">
        <f t="shared" si="135"/>
        <v>9</v>
      </c>
    </row>
    <row r="944" spans="1:26" ht="15.75" customHeight="1" x14ac:dyDescent="0.3">
      <c r="A944" s="2" t="s">
        <v>2162</v>
      </c>
      <c r="B944" s="2" t="s">
        <v>2163</v>
      </c>
      <c r="C944" s="2" t="s">
        <v>139</v>
      </c>
      <c r="D944" s="2" t="s">
        <v>31</v>
      </c>
      <c r="E944" s="2" t="s">
        <v>25</v>
      </c>
      <c r="F944" s="2">
        <v>15</v>
      </c>
      <c r="G944" s="2">
        <v>4762.1499999999996</v>
      </c>
      <c r="H944" s="2">
        <v>71432.25</v>
      </c>
      <c r="I944" s="2">
        <v>40580.519999999997</v>
      </c>
      <c r="J944" s="2">
        <v>30851.73</v>
      </c>
      <c r="K944" s="3">
        <v>45611</v>
      </c>
      <c r="L944" s="3">
        <v>45614</v>
      </c>
      <c r="M944" s="2" t="s">
        <v>181</v>
      </c>
      <c r="N944" s="2">
        <v>5</v>
      </c>
      <c r="O944" s="2" t="s">
        <v>1508</v>
      </c>
      <c r="P944" s="25">
        <v>8.6</v>
      </c>
      <c r="Q944" t="str">
        <f t="shared" si="128"/>
        <v>0943</v>
      </c>
      <c r="R944" t="str">
        <f>IF('RETAIL SALES DATA.'!H944&gt;AVERAGE('RETAIL SALES DATA.'!H944:H1943),"HIGHEST VALUE","LOWEST VALUE")</f>
        <v>HIGHEST VALUE</v>
      </c>
      <c r="S944" t="str">
        <f t="shared" si="136"/>
        <v>Profit</v>
      </c>
      <c r="T944" t="str">
        <f t="shared" si="129"/>
        <v>Jennifer Luna</v>
      </c>
      <c r="U944" t="str">
        <f t="shared" si="130"/>
        <v>Sofa</v>
      </c>
      <c r="V944">
        <f t="shared" si="131"/>
        <v>2024</v>
      </c>
      <c r="W944">
        <f t="shared" si="132"/>
        <v>11</v>
      </c>
      <c r="X944">
        <f t="shared" si="133"/>
        <v>15</v>
      </c>
      <c r="Y944" t="str">
        <f t="shared" si="134"/>
        <v>Nov</v>
      </c>
      <c r="Z944">
        <f t="shared" si="135"/>
        <v>3</v>
      </c>
    </row>
    <row r="945" spans="1:26" ht="15.75" customHeight="1" x14ac:dyDescent="0.3">
      <c r="A945" s="2" t="s">
        <v>2164</v>
      </c>
      <c r="B945" s="2" t="s">
        <v>2165</v>
      </c>
      <c r="C945" s="2" t="s">
        <v>18</v>
      </c>
      <c r="D945" s="2" t="s">
        <v>19</v>
      </c>
      <c r="E945" s="2" t="s">
        <v>25</v>
      </c>
      <c r="F945" s="2">
        <v>19</v>
      </c>
      <c r="G945" s="2">
        <v>3679.71</v>
      </c>
      <c r="H945" s="2">
        <v>69914.490000000005</v>
      </c>
      <c r="I945" s="2">
        <v>61565.09</v>
      </c>
      <c r="J945" s="2">
        <v>8349.4</v>
      </c>
      <c r="K945" s="3">
        <v>45762</v>
      </c>
      <c r="L945" s="3">
        <v>45765</v>
      </c>
      <c r="M945" s="2" t="s">
        <v>58</v>
      </c>
      <c r="N945" s="2">
        <v>5</v>
      </c>
      <c r="O945" s="2" t="s">
        <v>551</v>
      </c>
      <c r="P945" s="25">
        <v>6.1</v>
      </c>
      <c r="Q945" t="str">
        <f t="shared" si="128"/>
        <v>0944</v>
      </c>
      <c r="R945" t="str">
        <f>IF('RETAIL SALES DATA.'!H945&gt;AVERAGE('RETAIL SALES DATA.'!H945:H1944),"HIGHEST VALUE","LOWEST VALUE")</f>
        <v>HIGHEST VALUE</v>
      </c>
      <c r="S945" t="str">
        <f t="shared" si="136"/>
        <v>Profit</v>
      </c>
      <c r="T945" t="str">
        <f t="shared" si="129"/>
        <v>Alexander Johnson Dvm</v>
      </c>
      <c r="U945" t="str">
        <f t="shared" si="130"/>
        <v>Pen</v>
      </c>
      <c r="V945">
        <f t="shared" si="131"/>
        <v>2025</v>
      </c>
      <c r="W945">
        <f t="shared" si="132"/>
        <v>4</v>
      </c>
      <c r="X945">
        <f t="shared" si="133"/>
        <v>15</v>
      </c>
      <c r="Y945" t="str">
        <f t="shared" si="134"/>
        <v>Apr</v>
      </c>
      <c r="Z945">
        <f t="shared" si="135"/>
        <v>3</v>
      </c>
    </row>
    <row r="946" spans="1:26" ht="15.75" customHeight="1" x14ac:dyDescent="0.3">
      <c r="A946" s="2" t="s">
        <v>2166</v>
      </c>
      <c r="B946" s="2" t="s">
        <v>2167</v>
      </c>
      <c r="C946" s="2" t="s">
        <v>18</v>
      </c>
      <c r="D946" s="2" t="s">
        <v>19</v>
      </c>
      <c r="E946" s="2" t="s">
        <v>32</v>
      </c>
      <c r="F946" s="2">
        <v>9</v>
      </c>
      <c r="G946" s="2">
        <v>173.38</v>
      </c>
      <c r="H946" s="2">
        <v>1560.42</v>
      </c>
      <c r="I946" s="2">
        <v>935.8</v>
      </c>
      <c r="J946" s="2">
        <v>624.62</v>
      </c>
      <c r="K946" s="3">
        <v>45972</v>
      </c>
      <c r="L946" s="3">
        <v>45977</v>
      </c>
      <c r="M946" s="2" t="s">
        <v>33</v>
      </c>
      <c r="N946" s="2">
        <v>3</v>
      </c>
      <c r="O946" s="2" t="s">
        <v>1114</v>
      </c>
      <c r="P946" s="25">
        <v>8</v>
      </c>
      <c r="Q946" t="str">
        <f t="shared" si="128"/>
        <v>0945</v>
      </c>
      <c r="R946" t="str">
        <f>IF('RETAIL SALES DATA.'!H946&gt;AVERAGE('RETAIL SALES DATA.'!H946:H1945),"HIGHEST VALUE","LOWEST VALUE")</f>
        <v>LOWEST VALUE</v>
      </c>
      <c r="S946" t="str">
        <f t="shared" si="136"/>
        <v>Profit</v>
      </c>
      <c r="T946" t="str">
        <f t="shared" si="129"/>
        <v>Justin Wilkerson</v>
      </c>
      <c r="U946" t="str">
        <f t="shared" si="130"/>
        <v>Pen</v>
      </c>
      <c r="V946">
        <f t="shared" si="131"/>
        <v>2025</v>
      </c>
      <c r="W946">
        <f t="shared" si="132"/>
        <v>11</v>
      </c>
      <c r="X946">
        <f t="shared" si="133"/>
        <v>11</v>
      </c>
      <c r="Y946" t="str">
        <f t="shared" si="134"/>
        <v>Nov</v>
      </c>
      <c r="Z946">
        <f t="shared" si="135"/>
        <v>5</v>
      </c>
    </row>
    <row r="947" spans="1:26" ht="15.75" customHeight="1" x14ac:dyDescent="0.3">
      <c r="A947" s="2" t="s">
        <v>2168</v>
      </c>
      <c r="B947" s="2" t="s">
        <v>2169</v>
      </c>
      <c r="C947" s="2" t="s">
        <v>168</v>
      </c>
      <c r="D947" s="2" t="s">
        <v>43</v>
      </c>
      <c r="E947" s="2" t="s">
        <v>44</v>
      </c>
      <c r="F947" s="2">
        <v>15</v>
      </c>
      <c r="G947" s="2">
        <v>1086.93</v>
      </c>
      <c r="H947" s="2">
        <v>16303.95</v>
      </c>
      <c r="I947" s="2">
        <v>9468.7000000000007</v>
      </c>
      <c r="J947" s="2">
        <v>6835.25</v>
      </c>
      <c r="K947" s="3">
        <v>46146</v>
      </c>
      <c r="L947" s="3">
        <v>46149</v>
      </c>
      <c r="M947" s="2" t="s">
        <v>38</v>
      </c>
      <c r="N947" s="2">
        <v>4</v>
      </c>
      <c r="O947" s="2" t="s">
        <v>383</v>
      </c>
      <c r="P947" s="25">
        <v>8.6999999999999993</v>
      </c>
      <c r="Q947" t="str">
        <f t="shared" si="128"/>
        <v>0946</v>
      </c>
      <c r="R947" t="str">
        <f>IF('RETAIL SALES DATA.'!H947&gt;AVERAGE('RETAIL SALES DATA.'!H947:H1946),"HIGHEST VALUE","LOWEST VALUE")</f>
        <v>LOWEST VALUE</v>
      </c>
      <c r="S947" t="str">
        <f t="shared" si="136"/>
        <v>Profit</v>
      </c>
      <c r="T947" t="str">
        <f t="shared" si="129"/>
        <v>Anna Garza</v>
      </c>
      <c r="U947" t="str">
        <f t="shared" si="130"/>
        <v>Keyboard</v>
      </c>
      <c r="V947">
        <f t="shared" si="131"/>
        <v>2026</v>
      </c>
      <c r="W947">
        <f t="shared" si="132"/>
        <v>5</v>
      </c>
      <c r="X947">
        <f t="shared" si="133"/>
        <v>4</v>
      </c>
      <c r="Y947" t="str">
        <f t="shared" si="134"/>
        <v>May</v>
      </c>
      <c r="Z947">
        <f t="shared" si="135"/>
        <v>3</v>
      </c>
    </row>
    <row r="948" spans="1:26" ht="15.75" customHeight="1" x14ac:dyDescent="0.3">
      <c r="A948" s="2" t="s">
        <v>2170</v>
      </c>
      <c r="B948" s="2" t="s">
        <v>2171</v>
      </c>
      <c r="C948" s="2" t="s">
        <v>139</v>
      </c>
      <c r="D948" s="2" t="s">
        <v>31</v>
      </c>
      <c r="E948" s="2" t="s">
        <v>20</v>
      </c>
      <c r="F948" s="2">
        <v>2</v>
      </c>
      <c r="G948" s="2">
        <v>1935.98</v>
      </c>
      <c r="H948" s="2">
        <v>3871.96</v>
      </c>
      <c r="I948" s="2">
        <v>2334.92</v>
      </c>
      <c r="J948" s="2">
        <v>1537.04</v>
      </c>
      <c r="K948" s="3">
        <v>45837</v>
      </c>
      <c r="L948" s="3">
        <v>45839</v>
      </c>
      <c r="M948" s="2" t="s">
        <v>50</v>
      </c>
      <c r="N948" s="2">
        <v>2</v>
      </c>
      <c r="O948" s="2" t="s">
        <v>208</v>
      </c>
      <c r="P948" s="25">
        <v>8.9</v>
      </c>
      <c r="Q948" t="str">
        <f t="shared" si="128"/>
        <v>0947</v>
      </c>
      <c r="R948" t="str">
        <f>IF('RETAIL SALES DATA.'!H948&gt;AVERAGE('RETAIL SALES DATA.'!H948:H1947),"HIGHEST VALUE","LOWEST VALUE")</f>
        <v>LOWEST VALUE</v>
      </c>
      <c r="S948" t="str">
        <f t="shared" si="136"/>
        <v>Profit</v>
      </c>
      <c r="T948" t="str">
        <f t="shared" si="129"/>
        <v>Dr. Sean Allen</v>
      </c>
      <c r="U948" t="str">
        <f t="shared" si="130"/>
        <v>Sofa</v>
      </c>
      <c r="V948">
        <f t="shared" si="131"/>
        <v>2025</v>
      </c>
      <c r="W948">
        <f t="shared" si="132"/>
        <v>7</v>
      </c>
      <c r="X948">
        <f t="shared" si="133"/>
        <v>29</v>
      </c>
      <c r="Y948" t="str">
        <f t="shared" si="134"/>
        <v>Jun</v>
      </c>
      <c r="Z948">
        <f t="shared" si="135"/>
        <v>2</v>
      </c>
    </row>
    <row r="949" spans="1:26" ht="15.75" customHeight="1" x14ac:dyDescent="0.3">
      <c r="A949" s="2" t="s">
        <v>2172</v>
      </c>
      <c r="B949" s="2" t="s">
        <v>2173</v>
      </c>
      <c r="C949" s="2" t="s">
        <v>62</v>
      </c>
      <c r="D949" s="2" t="s">
        <v>31</v>
      </c>
      <c r="E949" s="2" t="s">
        <v>32</v>
      </c>
      <c r="F949" s="2">
        <v>3</v>
      </c>
      <c r="G949" s="2">
        <v>2256.86</v>
      </c>
      <c r="H949" s="2">
        <v>6770.58</v>
      </c>
      <c r="I949" s="2">
        <v>3506.25</v>
      </c>
      <c r="J949" s="2">
        <v>3264.33</v>
      </c>
      <c r="K949" s="3">
        <v>45959</v>
      </c>
      <c r="L949" s="3">
        <v>45968</v>
      </c>
      <c r="M949" s="2" t="s">
        <v>33</v>
      </c>
      <c r="N949" s="2">
        <v>3</v>
      </c>
      <c r="O949" s="2" t="s">
        <v>1341</v>
      </c>
      <c r="P949" s="25">
        <v>9</v>
      </c>
      <c r="Q949" t="str">
        <f t="shared" si="128"/>
        <v>0948</v>
      </c>
      <c r="R949" t="str">
        <f>IF('RETAIL SALES DATA.'!H949&gt;AVERAGE('RETAIL SALES DATA.'!H949:H1948),"HIGHEST VALUE","LOWEST VALUE")</f>
        <v>LOWEST VALUE</v>
      </c>
      <c r="S949" t="str">
        <f t="shared" si="136"/>
        <v>Profit</v>
      </c>
      <c r="T949" t="str">
        <f t="shared" si="129"/>
        <v>Jim Glover</v>
      </c>
      <c r="U949" t="str">
        <f t="shared" si="130"/>
        <v>Table</v>
      </c>
      <c r="V949">
        <f t="shared" si="131"/>
        <v>2025</v>
      </c>
      <c r="W949">
        <f t="shared" si="132"/>
        <v>11</v>
      </c>
      <c r="X949">
        <f t="shared" si="133"/>
        <v>29</v>
      </c>
      <c r="Y949" t="str">
        <f t="shared" si="134"/>
        <v>Oct</v>
      </c>
      <c r="Z949">
        <f t="shared" si="135"/>
        <v>9</v>
      </c>
    </row>
    <row r="950" spans="1:26" ht="15.75" customHeight="1" x14ac:dyDescent="0.3">
      <c r="A950" s="2" t="s">
        <v>2174</v>
      </c>
      <c r="B950" s="2" t="s">
        <v>2175</v>
      </c>
      <c r="C950" s="2" t="s">
        <v>62</v>
      </c>
      <c r="D950" s="2" t="s">
        <v>31</v>
      </c>
      <c r="E950" s="2" t="s">
        <v>25</v>
      </c>
      <c r="F950" s="2">
        <v>1</v>
      </c>
      <c r="G950" s="2">
        <v>3797.15</v>
      </c>
      <c r="H950" s="2">
        <v>3797.15</v>
      </c>
      <c r="I950" s="2">
        <v>2451.2600000000002</v>
      </c>
      <c r="J950" s="2">
        <v>1345.89</v>
      </c>
      <c r="K950" s="3">
        <v>45474</v>
      </c>
      <c r="L950" s="3">
        <v>45481</v>
      </c>
      <c r="M950" s="2" t="s">
        <v>58</v>
      </c>
      <c r="N950" s="2">
        <v>1</v>
      </c>
      <c r="O950" s="2" t="s">
        <v>585</v>
      </c>
      <c r="P950" s="25">
        <v>8.9</v>
      </c>
      <c r="Q950" t="str">
        <f t="shared" si="128"/>
        <v>0949</v>
      </c>
      <c r="R950" t="str">
        <f>IF('RETAIL SALES DATA.'!H950&gt;AVERAGE('RETAIL SALES DATA.'!H950:H1949),"HIGHEST VALUE","LOWEST VALUE")</f>
        <v>LOWEST VALUE</v>
      </c>
      <c r="S950" t="str">
        <f t="shared" si="136"/>
        <v>Profit</v>
      </c>
      <c r="T950" t="str">
        <f t="shared" si="129"/>
        <v>Stacy Meyer</v>
      </c>
      <c r="U950" t="str">
        <f t="shared" si="130"/>
        <v>Table</v>
      </c>
      <c r="V950">
        <f t="shared" si="131"/>
        <v>2024</v>
      </c>
      <c r="W950">
        <f t="shared" si="132"/>
        <v>7</v>
      </c>
      <c r="X950">
        <f t="shared" si="133"/>
        <v>1</v>
      </c>
      <c r="Y950" t="str">
        <f t="shared" si="134"/>
        <v>Jul</v>
      </c>
      <c r="Z950">
        <f t="shared" si="135"/>
        <v>7</v>
      </c>
    </row>
    <row r="951" spans="1:26" ht="15.75" customHeight="1" x14ac:dyDescent="0.3">
      <c r="A951" s="2" t="s">
        <v>2176</v>
      </c>
      <c r="B951" s="2" t="s">
        <v>2177</v>
      </c>
      <c r="C951" s="2" t="s">
        <v>95</v>
      </c>
      <c r="D951" s="2" t="s">
        <v>19</v>
      </c>
      <c r="E951" s="2" t="s">
        <v>25</v>
      </c>
      <c r="F951" s="2">
        <v>17</v>
      </c>
      <c r="G951" s="2">
        <v>3071.9</v>
      </c>
      <c r="H951" s="2">
        <v>52222.3</v>
      </c>
      <c r="I951" s="2">
        <v>38191.199999999997</v>
      </c>
      <c r="J951" s="2">
        <v>14031.1</v>
      </c>
      <c r="K951" s="3">
        <v>46091</v>
      </c>
      <c r="L951" s="3">
        <v>46101</v>
      </c>
      <c r="M951" s="2" t="s">
        <v>181</v>
      </c>
      <c r="N951" s="2">
        <v>4</v>
      </c>
      <c r="O951" s="2" t="s">
        <v>904</v>
      </c>
      <c r="P951" s="25">
        <v>8</v>
      </c>
      <c r="Q951" t="str">
        <f t="shared" si="128"/>
        <v>0950</v>
      </c>
      <c r="R951" t="str">
        <f>IF('RETAIL SALES DATA.'!H951&gt;AVERAGE('RETAIL SALES DATA.'!H951:H1950),"HIGHEST VALUE","LOWEST VALUE")</f>
        <v>HIGHEST VALUE</v>
      </c>
      <c r="S951" t="str">
        <f t="shared" si="136"/>
        <v>Profit</v>
      </c>
      <c r="T951" t="str">
        <f t="shared" si="129"/>
        <v>Ashley Mitchell</v>
      </c>
      <c r="U951" t="str">
        <f t="shared" si="130"/>
        <v>Printer</v>
      </c>
      <c r="V951">
        <f t="shared" si="131"/>
        <v>2026</v>
      </c>
      <c r="W951">
        <f t="shared" si="132"/>
        <v>3</v>
      </c>
      <c r="X951">
        <f t="shared" si="133"/>
        <v>10</v>
      </c>
      <c r="Y951" t="str">
        <f t="shared" si="134"/>
        <v>Mar</v>
      </c>
      <c r="Z951">
        <f t="shared" si="135"/>
        <v>10</v>
      </c>
    </row>
    <row r="952" spans="1:26" ht="15.75" customHeight="1" x14ac:dyDescent="0.3">
      <c r="A952" s="2" t="s">
        <v>2178</v>
      </c>
      <c r="B952" s="2" t="s">
        <v>2179</v>
      </c>
      <c r="C952" s="2" t="s">
        <v>168</v>
      </c>
      <c r="D952" s="2" t="s">
        <v>43</v>
      </c>
      <c r="E952" s="2" t="s">
        <v>20</v>
      </c>
      <c r="F952" s="2">
        <v>2</v>
      </c>
      <c r="G952" s="2">
        <v>725.58</v>
      </c>
      <c r="H952" s="2">
        <v>1451.16</v>
      </c>
      <c r="I952" s="2">
        <v>941.02</v>
      </c>
      <c r="J952" s="2">
        <v>510.14</v>
      </c>
      <c r="K952" s="3">
        <v>45708</v>
      </c>
      <c r="L952" s="3">
        <v>45718</v>
      </c>
      <c r="M952" s="2" t="s">
        <v>50</v>
      </c>
      <c r="N952" s="2">
        <v>4</v>
      </c>
      <c r="O952" s="2" t="s">
        <v>483</v>
      </c>
      <c r="P952" s="25">
        <v>9.4</v>
      </c>
      <c r="Q952" t="str">
        <f t="shared" si="128"/>
        <v>0951</v>
      </c>
      <c r="R952" t="str">
        <f>IF('RETAIL SALES DATA.'!H952&gt;AVERAGE('RETAIL SALES DATA.'!H952:H1951),"HIGHEST VALUE","LOWEST VALUE")</f>
        <v>LOWEST VALUE</v>
      </c>
      <c r="S952" t="str">
        <f t="shared" si="136"/>
        <v>Profit</v>
      </c>
      <c r="T952" t="str">
        <f t="shared" si="129"/>
        <v>Mark Davis</v>
      </c>
      <c r="U952" t="str">
        <f t="shared" si="130"/>
        <v>Keyboard</v>
      </c>
      <c r="V952">
        <f t="shared" si="131"/>
        <v>2025</v>
      </c>
      <c r="W952">
        <f t="shared" si="132"/>
        <v>3</v>
      </c>
      <c r="X952">
        <f t="shared" si="133"/>
        <v>20</v>
      </c>
      <c r="Y952" t="str">
        <f t="shared" si="134"/>
        <v>Feb</v>
      </c>
      <c r="Z952">
        <f t="shared" si="135"/>
        <v>10</v>
      </c>
    </row>
    <row r="953" spans="1:26" ht="15.75" customHeight="1" x14ac:dyDescent="0.3">
      <c r="A953" s="2" t="s">
        <v>2180</v>
      </c>
      <c r="B953" s="2" t="s">
        <v>2181</v>
      </c>
      <c r="C953" s="2" t="s">
        <v>144</v>
      </c>
      <c r="D953" s="2" t="s">
        <v>19</v>
      </c>
      <c r="E953" s="2" t="s">
        <v>20</v>
      </c>
      <c r="F953" s="2">
        <v>13</v>
      </c>
      <c r="G953" s="2">
        <v>1623.55</v>
      </c>
      <c r="H953" s="2">
        <v>21106.15</v>
      </c>
      <c r="I953" s="2">
        <v>12133.17</v>
      </c>
      <c r="J953" s="2">
        <v>8972.98</v>
      </c>
      <c r="K953" s="3">
        <v>45871</v>
      </c>
      <c r="L953" s="3">
        <v>45875</v>
      </c>
      <c r="M953" s="2" t="s">
        <v>21</v>
      </c>
      <c r="N953" s="2">
        <v>4</v>
      </c>
      <c r="O953" s="2" t="s">
        <v>1067</v>
      </c>
      <c r="P953" s="25">
        <v>8.4</v>
      </c>
      <c r="Q953" t="str">
        <f t="shared" si="128"/>
        <v>0952</v>
      </c>
      <c r="R953" t="str">
        <f>IF('RETAIL SALES DATA.'!H953&gt;AVERAGE('RETAIL SALES DATA.'!H953:H1952),"HIGHEST VALUE","LOWEST VALUE")</f>
        <v>LOWEST VALUE</v>
      </c>
      <c r="S953" t="str">
        <f t="shared" si="136"/>
        <v>Profit</v>
      </c>
      <c r="T953" t="str">
        <f t="shared" si="129"/>
        <v>Heather Townsend</v>
      </c>
      <c r="U953" t="str">
        <f t="shared" si="130"/>
        <v>File</v>
      </c>
      <c r="V953">
        <f t="shared" si="131"/>
        <v>2025</v>
      </c>
      <c r="W953">
        <f t="shared" si="132"/>
        <v>8</v>
      </c>
      <c r="X953">
        <f t="shared" si="133"/>
        <v>2</v>
      </c>
      <c r="Y953" t="str">
        <f t="shared" si="134"/>
        <v>Aug</v>
      </c>
      <c r="Z953">
        <f t="shared" si="135"/>
        <v>4</v>
      </c>
    </row>
    <row r="954" spans="1:26" ht="15.75" customHeight="1" x14ac:dyDescent="0.3">
      <c r="A954" s="2" t="s">
        <v>2182</v>
      </c>
      <c r="B954" s="2" t="s">
        <v>2183</v>
      </c>
      <c r="C954" s="2" t="s">
        <v>168</v>
      </c>
      <c r="D954" s="2" t="s">
        <v>43</v>
      </c>
      <c r="E954" s="2" t="s">
        <v>25</v>
      </c>
      <c r="F954" s="2">
        <v>8</v>
      </c>
      <c r="G954" s="2">
        <v>3777.84</v>
      </c>
      <c r="H954" s="2">
        <v>30222.720000000001</v>
      </c>
      <c r="I954" s="2">
        <v>18849.04</v>
      </c>
      <c r="J954" s="2">
        <v>11373.68</v>
      </c>
      <c r="K954" s="3">
        <v>46097</v>
      </c>
      <c r="L954" s="3">
        <v>46099</v>
      </c>
      <c r="M954" s="2" t="s">
        <v>38</v>
      </c>
      <c r="N954" s="2">
        <v>4</v>
      </c>
      <c r="O954" s="2" t="s">
        <v>1026</v>
      </c>
      <c r="P954" s="25">
        <v>7.6</v>
      </c>
      <c r="Q954" t="str">
        <f t="shared" si="128"/>
        <v>0953</v>
      </c>
      <c r="R954" t="str">
        <f>IF('RETAIL SALES DATA.'!H954&gt;AVERAGE('RETAIL SALES DATA.'!H954:H1953),"HIGHEST VALUE","LOWEST VALUE")</f>
        <v>LOWEST VALUE</v>
      </c>
      <c r="S954" t="str">
        <f t="shared" si="136"/>
        <v>Profit</v>
      </c>
      <c r="T954" t="str">
        <f t="shared" si="129"/>
        <v>Jesus Chan</v>
      </c>
      <c r="U954" t="str">
        <f t="shared" si="130"/>
        <v>Keyboard</v>
      </c>
      <c r="V954">
        <f t="shared" si="131"/>
        <v>2026</v>
      </c>
      <c r="W954">
        <f t="shared" si="132"/>
        <v>3</v>
      </c>
      <c r="X954">
        <f t="shared" si="133"/>
        <v>16</v>
      </c>
      <c r="Y954" t="str">
        <f t="shared" si="134"/>
        <v>Mar</v>
      </c>
      <c r="Z954">
        <f t="shared" si="135"/>
        <v>2</v>
      </c>
    </row>
    <row r="955" spans="1:26" ht="15.75" customHeight="1" x14ac:dyDescent="0.3">
      <c r="A955" s="2" t="s">
        <v>2184</v>
      </c>
      <c r="B955" s="2" t="s">
        <v>2185</v>
      </c>
      <c r="C955" s="2" t="s">
        <v>57</v>
      </c>
      <c r="D955" s="2" t="s">
        <v>19</v>
      </c>
      <c r="E955" s="2" t="s">
        <v>25</v>
      </c>
      <c r="F955" s="2">
        <v>18</v>
      </c>
      <c r="G955" s="2">
        <v>645.76</v>
      </c>
      <c r="H955" s="2">
        <v>11623.68</v>
      </c>
      <c r="I955" s="2">
        <v>9000.23</v>
      </c>
      <c r="J955" s="2">
        <v>2623.45</v>
      </c>
      <c r="K955" s="3">
        <v>46056</v>
      </c>
      <c r="L955" s="3">
        <v>46062</v>
      </c>
      <c r="M955" s="2" t="s">
        <v>21</v>
      </c>
      <c r="N955" s="2">
        <v>3</v>
      </c>
      <c r="O955" s="2" t="s">
        <v>1508</v>
      </c>
      <c r="P955" s="25">
        <v>8.6</v>
      </c>
      <c r="Q955" t="str">
        <f t="shared" si="128"/>
        <v>0954</v>
      </c>
      <c r="R955" t="str">
        <f>IF('RETAIL SALES DATA.'!H955&gt;AVERAGE('RETAIL SALES DATA.'!H955:H1954),"HIGHEST VALUE","LOWEST VALUE")</f>
        <v>LOWEST VALUE</v>
      </c>
      <c r="S955" t="str">
        <f t="shared" si="136"/>
        <v>Profit</v>
      </c>
      <c r="T955" t="str">
        <f t="shared" si="129"/>
        <v>Henry Williamson</v>
      </c>
      <c r="U955" t="str">
        <f t="shared" si="130"/>
        <v>Notebook</v>
      </c>
      <c r="V955">
        <f t="shared" si="131"/>
        <v>2026</v>
      </c>
      <c r="W955">
        <f t="shared" si="132"/>
        <v>2</v>
      </c>
      <c r="X955">
        <f t="shared" si="133"/>
        <v>3</v>
      </c>
      <c r="Y955" t="str">
        <f t="shared" si="134"/>
        <v>Feb</v>
      </c>
      <c r="Z955">
        <f t="shared" si="135"/>
        <v>6</v>
      </c>
    </row>
    <row r="956" spans="1:26" ht="15.75" customHeight="1" x14ac:dyDescent="0.3">
      <c r="A956" s="2" t="s">
        <v>2186</v>
      </c>
      <c r="B956" s="2" t="s">
        <v>2187</v>
      </c>
      <c r="C956" s="2" t="s">
        <v>95</v>
      </c>
      <c r="D956" s="2" t="s">
        <v>19</v>
      </c>
      <c r="E956" s="2" t="s">
        <v>20</v>
      </c>
      <c r="F956" s="2">
        <v>4</v>
      </c>
      <c r="G956" s="2">
        <v>4239.9399999999996</v>
      </c>
      <c r="H956" s="2">
        <v>16959.759999999998</v>
      </c>
      <c r="I956" s="2">
        <v>13622.65</v>
      </c>
      <c r="J956" s="2">
        <v>3337.11</v>
      </c>
      <c r="K956" s="3">
        <v>45611</v>
      </c>
      <c r="L956" s="3">
        <v>45612</v>
      </c>
      <c r="M956" s="2" t="s">
        <v>69</v>
      </c>
      <c r="N956" s="2">
        <v>1</v>
      </c>
      <c r="O956" s="2" t="s">
        <v>1645</v>
      </c>
      <c r="P956" s="25">
        <v>9.3000000000000007</v>
      </c>
      <c r="Q956" t="str">
        <f t="shared" si="128"/>
        <v>0955</v>
      </c>
      <c r="R956" t="str">
        <f>IF('RETAIL SALES DATA.'!H956&gt;AVERAGE('RETAIL SALES DATA.'!H956:H1955),"HIGHEST VALUE","LOWEST VALUE")</f>
        <v>LOWEST VALUE</v>
      </c>
      <c r="S956" t="str">
        <f t="shared" si="136"/>
        <v>Profit</v>
      </c>
      <c r="T956" t="str">
        <f t="shared" si="129"/>
        <v>Antonio Rios</v>
      </c>
      <c r="U956" t="str">
        <f t="shared" si="130"/>
        <v>Printer</v>
      </c>
      <c r="V956">
        <f t="shared" si="131"/>
        <v>2024</v>
      </c>
      <c r="W956">
        <f t="shared" si="132"/>
        <v>11</v>
      </c>
      <c r="X956">
        <f t="shared" si="133"/>
        <v>15</v>
      </c>
      <c r="Y956" t="str">
        <f t="shared" si="134"/>
        <v>Nov</v>
      </c>
      <c r="Z956">
        <f t="shared" si="135"/>
        <v>1</v>
      </c>
    </row>
    <row r="957" spans="1:26" ht="15.75" customHeight="1" x14ac:dyDescent="0.3">
      <c r="A957" s="2" t="s">
        <v>2188</v>
      </c>
      <c r="B957" s="2" t="s">
        <v>2189</v>
      </c>
      <c r="C957" s="2" t="s">
        <v>30</v>
      </c>
      <c r="D957" s="2" t="s">
        <v>31</v>
      </c>
      <c r="E957" s="2" t="s">
        <v>44</v>
      </c>
      <c r="F957" s="2">
        <v>4</v>
      </c>
      <c r="G957" s="2">
        <v>1456.79</v>
      </c>
      <c r="H957" s="2">
        <v>5827.16</v>
      </c>
      <c r="I957" s="2">
        <v>3768.23</v>
      </c>
      <c r="J957" s="2">
        <v>2058.9299999999998</v>
      </c>
      <c r="K957" s="3">
        <v>45680</v>
      </c>
      <c r="L957" s="3">
        <v>45684</v>
      </c>
      <c r="M957" s="2" t="s">
        <v>45</v>
      </c>
      <c r="N957" s="2">
        <v>1</v>
      </c>
      <c r="O957" s="2" t="s">
        <v>124</v>
      </c>
      <c r="P957" s="25">
        <v>6.3</v>
      </c>
      <c r="Q957" t="str">
        <f t="shared" si="128"/>
        <v>0956</v>
      </c>
      <c r="R957" t="str">
        <f>IF('RETAIL SALES DATA.'!H957&gt;AVERAGE('RETAIL SALES DATA.'!H957:H1956),"HIGHEST VALUE","LOWEST VALUE")</f>
        <v>LOWEST VALUE</v>
      </c>
      <c r="S957" t="str">
        <f t="shared" si="136"/>
        <v>Profit</v>
      </c>
      <c r="T957" t="str">
        <f t="shared" si="129"/>
        <v>Andrew Long</v>
      </c>
      <c r="U957" t="str">
        <f t="shared" si="130"/>
        <v>Desk</v>
      </c>
      <c r="V957">
        <f t="shared" si="131"/>
        <v>2025</v>
      </c>
      <c r="W957">
        <f t="shared" si="132"/>
        <v>1</v>
      </c>
      <c r="X957">
        <f t="shared" si="133"/>
        <v>23</v>
      </c>
      <c r="Y957" t="str">
        <f t="shared" si="134"/>
        <v>Jan</v>
      </c>
      <c r="Z957">
        <f t="shared" si="135"/>
        <v>4</v>
      </c>
    </row>
    <row r="958" spans="1:26" ht="15.75" customHeight="1" x14ac:dyDescent="0.3">
      <c r="A958" s="2" t="s">
        <v>2190</v>
      </c>
      <c r="B958" s="2" t="s">
        <v>2191</v>
      </c>
      <c r="C958" s="2" t="s">
        <v>139</v>
      </c>
      <c r="D958" s="2" t="s">
        <v>31</v>
      </c>
      <c r="E958" s="2" t="s">
        <v>32</v>
      </c>
      <c r="F958" s="2">
        <v>6</v>
      </c>
      <c r="G958" s="2">
        <v>4134.62</v>
      </c>
      <c r="H958" s="2">
        <v>24807.72</v>
      </c>
      <c r="I958" s="2">
        <v>15961.7</v>
      </c>
      <c r="J958" s="2">
        <v>8846.02</v>
      </c>
      <c r="K958" s="3">
        <v>45988</v>
      </c>
      <c r="L958" s="3">
        <v>45994</v>
      </c>
      <c r="M958" s="2" t="s">
        <v>69</v>
      </c>
      <c r="N958" s="2">
        <v>4</v>
      </c>
      <c r="O958" s="2" t="s">
        <v>754</v>
      </c>
      <c r="P958" s="25">
        <v>6.6</v>
      </c>
      <c r="Q958" t="str">
        <f t="shared" si="128"/>
        <v>0957</v>
      </c>
      <c r="R958" t="str">
        <f>IF('RETAIL SALES DATA.'!H958&gt;AVERAGE('RETAIL SALES DATA.'!H958:H1957),"HIGHEST VALUE","LOWEST VALUE")</f>
        <v>LOWEST VALUE</v>
      </c>
      <c r="S958" t="str">
        <f t="shared" si="136"/>
        <v>Profit</v>
      </c>
      <c r="T958" t="str">
        <f t="shared" si="129"/>
        <v>Chelsea Hampton</v>
      </c>
      <c r="U958" t="str">
        <f t="shared" si="130"/>
        <v>Sofa</v>
      </c>
      <c r="V958">
        <f t="shared" si="131"/>
        <v>2025</v>
      </c>
      <c r="W958">
        <f t="shared" si="132"/>
        <v>12</v>
      </c>
      <c r="X958">
        <f t="shared" si="133"/>
        <v>27</v>
      </c>
      <c r="Y958" t="str">
        <f t="shared" si="134"/>
        <v>Nov</v>
      </c>
      <c r="Z958">
        <f t="shared" si="135"/>
        <v>6</v>
      </c>
    </row>
    <row r="959" spans="1:26" ht="15.75" customHeight="1" x14ac:dyDescent="0.3">
      <c r="A959" s="2" t="s">
        <v>2192</v>
      </c>
      <c r="B959" s="2" t="s">
        <v>2193</v>
      </c>
      <c r="C959" s="2" t="s">
        <v>57</v>
      </c>
      <c r="D959" s="2" t="s">
        <v>19</v>
      </c>
      <c r="E959" s="2" t="s">
        <v>25</v>
      </c>
      <c r="F959" s="2">
        <v>5</v>
      </c>
      <c r="G959" s="2">
        <v>2969.21</v>
      </c>
      <c r="H959" s="2">
        <v>14846.05</v>
      </c>
      <c r="I959" s="2">
        <v>9859.5499999999993</v>
      </c>
      <c r="J959" s="2">
        <v>4986.5</v>
      </c>
      <c r="K959" s="3">
        <v>45615</v>
      </c>
      <c r="L959" s="3">
        <v>45623</v>
      </c>
      <c r="M959" s="2" t="s">
        <v>33</v>
      </c>
      <c r="N959" s="2">
        <v>1</v>
      </c>
      <c r="O959" s="2" t="s">
        <v>993</v>
      </c>
      <c r="P959" s="25">
        <v>6.3</v>
      </c>
      <c r="Q959" t="str">
        <f t="shared" si="128"/>
        <v>0958</v>
      </c>
      <c r="R959" t="str">
        <f>IF('RETAIL SALES DATA.'!H959&gt;AVERAGE('RETAIL SALES DATA.'!H959:H1958),"HIGHEST VALUE","LOWEST VALUE")</f>
        <v>LOWEST VALUE</v>
      </c>
      <c r="S959" t="str">
        <f t="shared" si="136"/>
        <v>Profit</v>
      </c>
      <c r="T959" t="str">
        <f t="shared" si="129"/>
        <v>Briana Sellers</v>
      </c>
      <c r="U959" t="str">
        <f t="shared" si="130"/>
        <v>Notebook</v>
      </c>
      <c r="V959">
        <f t="shared" si="131"/>
        <v>2024</v>
      </c>
      <c r="W959">
        <f t="shared" si="132"/>
        <v>11</v>
      </c>
      <c r="X959">
        <f t="shared" si="133"/>
        <v>19</v>
      </c>
      <c r="Y959" t="str">
        <f t="shared" si="134"/>
        <v>Nov</v>
      </c>
      <c r="Z959">
        <f t="shared" si="135"/>
        <v>8</v>
      </c>
    </row>
    <row r="960" spans="1:26" ht="15.75" customHeight="1" x14ac:dyDescent="0.3">
      <c r="A960" s="2" t="s">
        <v>2194</v>
      </c>
      <c r="B960" s="2" t="s">
        <v>2195</v>
      </c>
      <c r="C960" s="2" t="s">
        <v>168</v>
      </c>
      <c r="D960" s="2" t="s">
        <v>43</v>
      </c>
      <c r="E960" s="2" t="s">
        <v>20</v>
      </c>
      <c r="F960" s="2">
        <v>11</v>
      </c>
      <c r="G960" s="2">
        <v>2943.2</v>
      </c>
      <c r="H960" s="2">
        <v>32375.200000000001</v>
      </c>
      <c r="I960" s="2">
        <v>19849.919999999998</v>
      </c>
      <c r="J960" s="2">
        <v>12525.28</v>
      </c>
      <c r="K960" s="3">
        <v>46020</v>
      </c>
      <c r="L960" s="3">
        <v>46021</v>
      </c>
      <c r="M960" s="2" t="s">
        <v>45</v>
      </c>
      <c r="N960" s="2">
        <v>4</v>
      </c>
      <c r="O960" s="2" t="s">
        <v>955</v>
      </c>
      <c r="P960" s="25">
        <v>8.1999999999999993</v>
      </c>
      <c r="Q960" t="str">
        <f t="shared" si="128"/>
        <v>0959</v>
      </c>
      <c r="R960" t="str">
        <f>IF('RETAIL SALES DATA.'!H960&gt;AVERAGE('RETAIL SALES DATA.'!H960:H1959),"HIGHEST VALUE","LOWEST VALUE")</f>
        <v>LOWEST VALUE</v>
      </c>
      <c r="S960" t="str">
        <f t="shared" si="136"/>
        <v>Profit</v>
      </c>
      <c r="T960" t="str">
        <f t="shared" si="129"/>
        <v>Calvin Gould</v>
      </c>
      <c r="U960" t="str">
        <f t="shared" si="130"/>
        <v>Keyboard</v>
      </c>
      <c r="V960">
        <f t="shared" si="131"/>
        <v>2025</v>
      </c>
      <c r="W960">
        <f t="shared" si="132"/>
        <v>12</v>
      </c>
      <c r="X960">
        <f t="shared" si="133"/>
        <v>29</v>
      </c>
      <c r="Y960" t="str">
        <f t="shared" si="134"/>
        <v>Dec</v>
      </c>
      <c r="Z960">
        <f t="shared" si="135"/>
        <v>1</v>
      </c>
    </row>
    <row r="961" spans="1:26" ht="15.75" customHeight="1" x14ac:dyDescent="0.3">
      <c r="A961" s="2" t="s">
        <v>2196</v>
      </c>
      <c r="B961" s="2" t="s">
        <v>2197</v>
      </c>
      <c r="C961" s="2" t="s">
        <v>18</v>
      </c>
      <c r="D961" s="2" t="s">
        <v>19</v>
      </c>
      <c r="E961" s="2" t="s">
        <v>44</v>
      </c>
      <c r="F961" s="2">
        <v>13</v>
      </c>
      <c r="G961" s="2">
        <v>2506.56</v>
      </c>
      <c r="H961" s="2">
        <v>32585.279999999999</v>
      </c>
      <c r="I961" s="2">
        <v>20122.32</v>
      </c>
      <c r="J961" s="2">
        <v>12462.96</v>
      </c>
      <c r="K961" s="3">
        <v>46051</v>
      </c>
      <c r="L961" s="3">
        <v>46053</v>
      </c>
      <c r="M961" s="2" t="s">
        <v>50</v>
      </c>
      <c r="N961" s="2">
        <v>5</v>
      </c>
      <c r="O961" s="2" t="s">
        <v>597</v>
      </c>
      <c r="P961" s="25">
        <v>6.1</v>
      </c>
      <c r="Q961" t="str">
        <f t="shared" si="128"/>
        <v>0960</v>
      </c>
      <c r="R961" t="str">
        <f>IF('RETAIL SALES DATA.'!H961&gt;AVERAGE('RETAIL SALES DATA.'!H961:H1960),"HIGHEST VALUE","LOWEST VALUE")</f>
        <v>LOWEST VALUE</v>
      </c>
      <c r="S961" t="str">
        <f t="shared" si="136"/>
        <v>Profit</v>
      </c>
      <c r="T961" t="str">
        <f t="shared" si="129"/>
        <v>Amanda Whitehead</v>
      </c>
      <c r="U961" t="str">
        <f t="shared" si="130"/>
        <v>Pen</v>
      </c>
      <c r="V961">
        <f t="shared" si="131"/>
        <v>2026</v>
      </c>
      <c r="W961">
        <f t="shared" si="132"/>
        <v>1</v>
      </c>
      <c r="X961">
        <f t="shared" si="133"/>
        <v>29</v>
      </c>
      <c r="Y961" t="str">
        <f t="shared" si="134"/>
        <v>Jan</v>
      </c>
      <c r="Z961">
        <f t="shared" si="135"/>
        <v>2</v>
      </c>
    </row>
    <row r="962" spans="1:26" ht="15.75" customHeight="1" x14ac:dyDescent="0.3">
      <c r="A962" s="2" t="s">
        <v>2198</v>
      </c>
      <c r="B962" s="2" t="s">
        <v>2199</v>
      </c>
      <c r="C962" s="2" t="s">
        <v>219</v>
      </c>
      <c r="D962" s="2" t="s">
        <v>43</v>
      </c>
      <c r="E962" s="2" t="s">
        <v>25</v>
      </c>
      <c r="F962" s="2">
        <v>5</v>
      </c>
      <c r="G962" s="2">
        <v>2272.5500000000002</v>
      </c>
      <c r="H962" s="2">
        <v>11362.75</v>
      </c>
      <c r="I962" s="2">
        <v>7990.79</v>
      </c>
      <c r="J962" s="2">
        <v>3371.96</v>
      </c>
      <c r="K962" s="3">
        <v>45932</v>
      </c>
      <c r="L962" s="3">
        <v>45937</v>
      </c>
      <c r="M962" s="2" t="s">
        <v>69</v>
      </c>
      <c r="N962" s="2">
        <v>4</v>
      </c>
      <c r="O962" s="2" t="s">
        <v>441</v>
      </c>
      <c r="P962" s="25">
        <v>7</v>
      </c>
      <c r="Q962" t="str">
        <f t="shared" si="128"/>
        <v>0961</v>
      </c>
      <c r="R962" t="str">
        <f>IF('RETAIL SALES DATA.'!H962&gt;AVERAGE('RETAIL SALES DATA.'!H962:H1961),"HIGHEST VALUE","LOWEST VALUE")</f>
        <v>LOWEST VALUE</v>
      </c>
      <c r="S962" t="str">
        <f t="shared" si="136"/>
        <v>Profit</v>
      </c>
      <c r="T962" t="str">
        <f t="shared" si="129"/>
        <v>Gabriela Cook</v>
      </c>
      <c r="U962" t="str">
        <f t="shared" si="130"/>
        <v>Smartphone</v>
      </c>
      <c r="V962">
        <f t="shared" si="131"/>
        <v>2025</v>
      </c>
      <c r="W962">
        <f t="shared" si="132"/>
        <v>10</v>
      </c>
      <c r="X962">
        <f t="shared" si="133"/>
        <v>2</v>
      </c>
      <c r="Y962" t="str">
        <f t="shared" si="134"/>
        <v>Oct</v>
      </c>
      <c r="Z962">
        <f t="shared" si="135"/>
        <v>5</v>
      </c>
    </row>
    <row r="963" spans="1:26" ht="15.75" customHeight="1" x14ac:dyDescent="0.3">
      <c r="A963" s="2" t="s">
        <v>2200</v>
      </c>
      <c r="B963" s="2" t="s">
        <v>2201</v>
      </c>
      <c r="C963" s="2" t="s">
        <v>62</v>
      </c>
      <c r="D963" s="2" t="s">
        <v>31</v>
      </c>
      <c r="E963" s="2" t="s">
        <v>44</v>
      </c>
      <c r="F963" s="2">
        <v>19</v>
      </c>
      <c r="G963" s="2">
        <v>2873.49</v>
      </c>
      <c r="H963" s="2">
        <v>54596.31</v>
      </c>
      <c r="I963" s="2">
        <v>46264.34</v>
      </c>
      <c r="J963" s="2">
        <v>8331.9699999999993</v>
      </c>
      <c r="K963" s="3">
        <v>45750</v>
      </c>
      <c r="L963" s="3">
        <v>45753</v>
      </c>
      <c r="M963" s="2" t="s">
        <v>58</v>
      </c>
      <c r="N963" s="2">
        <v>5</v>
      </c>
      <c r="O963" s="2" t="s">
        <v>828</v>
      </c>
      <c r="P963" s="25">
        <v>9</v>
      </c>
      <c r="Q963" t="str">
        <f t="shared" ref="Q963:Q1001" si="137">RIGHT(A963,"4")</f>
        <v>0962</v>
      </c>
      <c r="R963" t="str">
        <f>IF('RETAIL SALES DATA.'!H963&gt;AVERAGE('RETAIL SALES DATA.'!H963:H1962),"HIGHEST VALUE","LOWEST VALUE")</f>
        <v>HIGHEST VALUE</v>
      </c>
      <c r="S963" t="str">
        <f t="shared" si="136"/>
        <v>Profit</v>
      </c>
      <c r="T963" t="str">
        <f t="shared" ref="T963:T1001" si="138">PROPER(B963)</f>
        <v>Heather Copeland</v>
      </c>
      <c r="U963" t="str">
        <f t="shared" ref="U963:U1001" si="139">PROPER(C963)</f>
        <v>Table</v>
      </c>
      <c r="V963">
        <f t="shared" ref="V963:V1001" si="140">YEAR(K963)</f>
        <v>2025</v>
      </c>
      <c r="W963">
        <f t="shared" ref="W963:W1001" si="141">MONTH(L963)</f>
        <v>4</v>
      </c>
      <c r="X963">
        <f t="shared" ref="X963:X1001" si="142">DAY(K963)</f>
        <v>3</v>
      </c>
      <c r="Y963" t="str">
        <f t="shared" ref="Y963:Y1001" si="143">TEXT(K963,"MMM")</f>
        <v>Apr</v>
      </c>
      <c r="Z963">
        <f t="shared" ref="Z963:Z1001" si="144">L963-K963</f>
        <v>3</v>
      </c>
    </row>
    <row r="964" spans="1:26" ht="15.75" customHeight="1" x14ac:dyDescent="0.3">
      <c r="A964" s="2" t="s">
        <v>2202</v>
      </c>
      <c r="B964" s="2" t="s">
        <v>2203</v>
      </c>
      <c r="C964" s="2" t="s">
        <v>42</v>
      </c>
      <c r="D964" s="2" t="s">
        <v>43</v>
      </c>
      <c r="E964" s="2" t="s">
        <v>25</v>
      </c>
      <c r="F964" s="2">
        <v>17</v>
      </c>
      <c r="G964" s="2">
        <v>4477.75</v>
      </c>
      <c r="H964" s="2">
        <v>76121.75</v>
      </c>
      <c r="I964" s="2">
        <v>39151.25</v>
      </c>
      <c r="J964" s="2">
        <v>36970.5</v>
      </c>
      <c r="K964" s="3">
        <v>45437</v>
      </c>
      <c r="L964" s="3">
        <v>45447</v>
      </c>
      <c r="M964" s="2" t="s">
        <v>58</v>
      </c>
      <c r="N964" s="2">
        <v>1</v>
      </c>
      <c r="O964" s="2" t="s">
        <v>1714</v>
      </c>
      <c r="P964" s="25">
        <v>6.1</v>
      </c>
      <c r="Q964" t="str">
        <f t="shared" si="137"/>
        <v>0963</v>
      </c>
      <c r="R964" t="str">
        <f>IF('RETAIL SALES DATA.'!H964&gt;AVERAGE('RETAIL SALES DATA.'!H964:H1963),"HIGHEST VALUE","LOWEST VALUE")</f>
        <v>HIGHEST VALUE</v>
      </c>
      <c r="S964" t="str">
        <f t="shared" si="136"/>
        <v>Profit</v>
      </c>
      <c r="T964" t="str">
        <f t="shared" si="138"/>
        <v>Kelly Anderson</v>
      </c>
      <c r="U964" t="str">
        <f t="shared" si="139"/>
        <v>Laptop</v>
      </c>
      <c r="V964">
        <f t="shared" si="140"/>
        <v>2024</v>
      </c>
      <c r="W964">
        <f t="shared" si="141"/>
        <v>6</v>
      </c>
      <c r="X964">
        <f t="shared" si="142"/>
        <v>25</v>
      </c>
      <c r="Y964" t="str">
        <f t="shared" si="143"/>
        <v>May</v>
      </c>
      <c r="Z964">
        <f t="shared" si="144"/>
        <v>10</v>
      </c>
    </row>
    <row r="965" spans="1:26" ht="15.75" customHeight="1" x14ac:dyDescent="0.3">
      <c r="A965" s="2" t="s">
        <v>2204</v>
      </c>
      <c r="B965" s="2" t="s">
        <v>2205</v>
      </c>
      <c r="C965" s="2" t="s">
        <v>57</v>
      </c>
      <c r="D965" s="2" t="s">
        <v>19</v>
      </c>
      <c r="E965" s="2" t="s">
        <v>25</v>
      </c>
      <c r="F965" s="2">
        <v>8</v>
      </c>
      <c r="G965" s="2">
        <v>4483.84</v>
      </c>
      <c r="H965" s="2">
        <v>35870.720000000001</v>
      </c>
      <c r="I965" s="2">
        <v>19647.64</v>
      </c>
      <c r="J965" s="2">
        <v>16223.08</v>
      </c>
      <c r="K965" s="3">
        <v>45875</v>
      </c>
      <c r="L965" s="3">
        <v>45881</v>
      </c>
      <c r="M965" s="2" t="s">
        <v>33</v>
      </c>
      <c r="N965" s="2">
        <v>3</v>
      </c>
      <c r="O965" s="2" t="s">
        <v>63</v>
      </c>
      <c r="P965" s="25">
        <v>8.3000000000000007</v>
      </c>
      <c r="Q965" t="str">
        <f t="shared" si="137"/>
        <v>0964</v>
      </c>
      <c r="R965" t="str">
        <f>IF('RETAIL SALES DATA.'!H965&gt;AVERAGE('RETAIL SALES DATA.'!H965:H1964),"HIGHEST VALUE","LOWEST VALUE")</f>
        <v>HIGHEST VALUE</v>
      </c>
      <c r="S965" t="str">
        <f t="shared" si="136"/>
        <v>Profit</v>
      </c>
      <c r="T965" t="str">
        <f t="shared" si="138"/>
        <v>Tammy Duncan</v>
      </c>
      <c r="U965" t="str">
        <f t="shared" si="139"/>
        <v>Notebook</v>
      </c>
      <c r="V965">
        <f t="shared" si="140"/>
        <v>2025</v>
      </c>
      <c r="W965">
        <f t="shared" si="141"/>
        <v>8</v>
      </c>
      <c r="X965">
        <f t="shared" si="142"/>
        <v>6</v>
      </c>
      <c r="Y965" t="str">
        <f t="shared" si="143"/>
        <v>Aug</v>
      </c>
      <c r="Z965">
        <f t="shared" si="144"/>
        <v>6</v>
      </c>
    </row>
    <row r="966" spans="1:26" ht="15.75" customHeight="1" x14ac:dyDescent="0.3">
      <c r="A966" s="2" t="s">
        <v>2206</v>
      </c>
      <c r="B966" s="2" t="s">
        <v>2207</v>
      </c>
      <c r="C966" s="2" t="s">
        <v>49</v>
      </c>
      <c r="D966" s="2" t="s">
        <v>43</v>
      </c>
      <c r="E966" s="2" t="s">
        <v>44</v>
      </c>
      <c r="F966" s="2">
        <v>6</v>
      </c>
      <c r="G966" s="2">
        <v>1253.23</v>
      </c>
      <c r="H966" s="2">
        <v>7519.38</v>
      </c>
      <c r="I966" s="2">
        <v>4522.6000000000004</v>
      </c>
      <c r="J966" s="2">
        <v>2996.78</v>
      </c>
      <c r="K966" s="3">
        <v>45558</v>
      </c>
      <c r="L966" s="3">
        <v>45564</v>
      </c>
      <c r="M966" s="2" t="s">
        <v>58</v>
      </c>
      <c r="N966" s="2">
        <v>1</v>
      </c>
      <c r="O966" s="2" t="s">
        <v>818</v>
      </c>
      <c r="P966" s="25">
        <v>8.4</v>
      </c>
      <c r="Q966" t="str">
        <f t="shared" si="137"/>
        <v>0965</v>
      </c>
      <c r="R966" t="str">
        <f>IF('RETAIL SALES DATA.'!H966&gt;AVERAGE('RETAIL SALES DATA.'!H966:H1965),"HIGHEST VALUE","LOWEST VALUE")</f>
        <v>LOWEST VALUE</v>
      </c>
      <c r="S966" t="str">
        <f t="shared" si="136"/>
        <v>Profit</v>
      </c>
      <c r="T966" t="str">
        <f t="shared" si="138"/>
        <v>Shawna Smith</v>
      </c>
      <c r="U966" t="str">
        <f t="shared" si="139"/>
        <v>Mouse</v>
      </c>
      <c r="V966">
        <f t="shared" si="140"/>
        <v>2024</v>
      </c>
      <c r="W966">
        <f t="shared" si="141"/>
        <v>9</v>
      </c>
      <c r="X966">
        <f t="shared" si="142"/>
        <v>23</v>
      </c>
      <c r="Y966" t="str">
        <f t="shared" si="143"/>
        <v>Sep</v>
      </c>
      <c r="Z966">
        <f t="shared" si="144"/>
        <v>6</v>
      </c>
    </row>
    <row r="967" spans="1:26" ht="15.75" customHeight="1" x14ac:dyDescent="0.3">
      <c r="A967" s="2" t="s">
        <v>2208</v>
      </c>
      <c r="B967" s="2" t="s">
        <v>2209</v>
      </c>
      <c r="C967" s="2" t="s">
        <v>95</v>
      </c>
      <c r="D967" s="2" t="s">
        <v>19</v>
      </c>
      <c r="E967" s="2" t="s">
        <v>44</v>
      </c>
      <c r="F967" s="2">
        <v>4</v>
      </c>
      <c r="G967" s="2">
        <v>1285.43</v>
      </c>
      <c r="H967" s="2">
        <v>5141.72</v>
      </c>
      <c r="I967" s="2">
        <v>2843.6</v>
      </c>
      <c r="J967" s="2">
        <v>2298.12</v>
      </c>
      <c r="K967" s="3">
        <v>46026</v>
      </c>
      <c r="L967" s="3">
        <v>46034</v>
      </c>
      <c r="M967" s="2" t="s">
        <v>181</v>
      </c>
      <c r="N967" s="2">
        <v>3</v>
      </c>
      <c r="O967" s="2" t="s">
        <v>386</v>
      </c>
      <c r="P967" s="25">
        <v>7.7</v>
      </c>
      <c r="Q967" t="str">
        <f t="shared" si="137"/>
        <v>0966</v>
      </c>
      <c r="R967" t="str">
        <f>IF('RETAIL SALES DATA.'!H967&gt;AVERAGE('RETAIL SALES DATA.'!H967:H1966),"HIGHEST VALUE","LOWEST VALUE")</f>
        <v>LOWEST VALUE</v>
      </c>
      <c r="S967" t="str">
        <f t="shared" si="136"/>
        <v>Profit</v>
      </c>
      <c r="T967" t="str">
        <f t="shared" si="138"/>
        <v>Jane Rodriguez</v>
      </c>
      <c r="U967" t="str">
        <f t="shared" si="139"/>
        <v>Printer</v>
      </c>
      <c r="V967">
        <f t="shared" si="140"/>
        <v>2026</v>
      </c>
      <c r="W967">
        <f t="shared" si="141"/>
        <v>1</v>
      </c>
      <c r="X967">
        <f t="shared" si="142"/>
        <v>4</v>
      </c>
      <c r="Y967" t="str">
        <f t="shared" si="143"/>
        <v>Jan</v>
      </c>
      <c r="Z967">
        <f t="shared" si="144"/>
        <v>8</v>
      </c>
    </row>
    <row r="968" spans="1:26" ht="15.75" customHeight="1" x14ac:dyDescent="0.3">
      <c r="A968" s="2" t="s">
        <v>2210</v>
      </c>
      <c r="B968" s="2" t="s">
        <v>2211</v>
      </c>
      <c r="C968" s="2" t="s">
        <v>168</v>
      </c>
      <c r="D968" s="2" t="s">
        <v>43</v>
      </c>
      <c r="E968" s="2" t="s">
        <v>44</v>
      </c>
      <c r="F968" s="2">
        <v>10</v>
      </c>
      <c r="G968" s="2">
        <v>1629.51</v>
      </c>
      <c r="H968" s="2">
        <v>16295.1</v>
      </c>
      <c r="I968" s="2">
        <v>10537.93</v>
      </c>
      <c r="J968" s="2">
        <v>5757.17</v>
      </c>
      <c r="K968" s="3">
        <v>45990</v>
      </c>
      <c r="L968" s="3">
        <v>45998</v>
      </c>
      <c r="M968" s="2" t="s">
        <v>38</v>
      </c>
      <c r="N968" s="2">
        <v>5</v>
      </c>
      <c r="O968" s="2" t="s">
        <v>175</v>
      </c>
      <c r="P968" s="25">
        <v>8.5</v>
      </c>
      <c r="Q968" t="str">
        <f t="shared" si="137"/>
        <v>0967</v>
      </c>
      <c r="R968" t="str">
        <f>IF('RETAIL SALES DATA.'!H968&gt;AVERAGE('RETAIL SALES DATA.'!H968:H1967),"HIGHEST VALUE","LOWEST VALUE")</f>
        <v>LOWEST VALUE</v>
      </c>
      <c r="S968" t="str">
        <f t="shared" ref="S968:S1001" si="145">IF(J968&gt;0,"Profit","Loss")</f>
        <v>Profit</v>
      </c>
      <c r="T968" t="str">
        <f t="shared" si="138"/>
        <v>Thomas Shepard</v>
      </c>
      <c r="U968" t="str">
        <f t="shared" si="139"/>
        <v>Keyboard</v>
      </c>
      <c r="V968">
        <f t="shared" si="140"/>
        <v>2025</v>
      </c>
      <c r="W968">
        <f t="shared" si="141"/>
        <v>12</v>
      </c>
      <c r="X968">
        <f t="shared" si="142"/>
        <v>29</v>
      </c>
      <c r="Y968" t="str">
        <f t="shared" si="143"/>
        <v>Nov</v>
      </c>
      <c r="Z968">
        <f t="shared" si="144"/>
        <v>8</v>
      </c>
    </row>
    <row r="969" spans="1:26" ht="15.75" customHeight="1" x14ac:dyDescent="0.3">
      <c r="A969" s="2" t="s">
        <v>2212</v>
      </c>
      <c r="B969" s="2" t="s">
        <v>2213</v>
      </c>
      <c r="C969" s="2" t="s">
        <v>62</v>
      </c>
      <c r="D969" s="2" t="s">
        <v>31</v>
      </c>
      <c r="E969" s="2" t="s">
        <v>25</v>
      </c>
      <c r="F969" s="2">
        <v>9</v>
      </c>
      <c r="G969" s="2">
        <v>4270.41</v>
      </c>
      <c r="H969" s="2">
        <v>38433.69</v>
      </c>
      <c r="I969" s="2">
        <v>28450.44</v>
      </c>
      <c r="J969" s="2">
        <v>9983.25</v>
      </c>
      <c r="K969" s="3">
        <v>45532</v>
      </c>
      <c r="L969" s="3">
        <v>45534</v>
      </c>
      <c r="M969" s="2" t="s">
        <v>50</v>
      </c>
      <c r="N969" s="2">
        <v>4</v>
      </c>
      <c r="O969" s="2" t="s">
        <v>281</v>
      </c>
      <c r="P969" s="25">
        <v>9.6</v>
      </c>
      <c r="Q969" t="str">
        <f t="shared" si="137"/>
        <v>0968</v>
      </c>
      <c r="R969" t="str">
        <f>IF('RETAIL SALES DATA.'!H969&gt;AVERAGE('RETAIL SALES DATA.'!H969:H1968),"HIGHEST VALUE","LOWEST VALUE")</f>
        <v>HIGHEST VALUE</v>
      </c>
      <c r="S969" t="str">
        <f t="shared" si="145"/>
        <v>Profit</v>
      </c>
      <c r="T969" t="str">
        <f t="shared" si="138"/>
        <v>Joshua Combs</v>
      </c>
      <c r="U969" t="str">
        <f t="shared" si="139"/>
        <v>Table</v>
      </c>
      <c r="V969">
        <f t="shared" si="140"/>
        <v>2024</v>
      </c>
      <c r="W969">
        <f t="shared" si="141"/>
        <v>8</v>
      </c>
      <c r="X969">
        <f t="shared" si="142"/>
        <v>28</v>
      </c>
      <c r="Y969" t="str">
        <f t="shared" si="143"/>
        <v>Aug</v>
      </c>
      <c r="Z969">
        <f t="shared" si="144"/>
        <v>2</v>
      </c>
    </row>
    <row r="970" spans="1:26" ht="15.75" customHeight="1" x14ac:dyDescent="0.3">
      <c r="A970" s="2" t="s">
        <v>2214</v>
      </c>
      <c r="B970" s="2" t="s">
        <v>2215</v>
      </c>
      <c r="C970" s="2" t="s">
        <v>72</v>
      </c>
      <c r="D970" s="2" t="s">
        <v>31</v>
      </c>
      <c r="E970" s="2" t="s">
        <v>32</v>
      </c>
      <c r="F970" s="2">
        <v>17</v>
      </c>
      <c r="G970" s="2">
        <v>4579.26</v>
      </c>
      <c r="H970" s="2">
        <v>77847.42</v>
      </c>
      <c r="I970" s="2">
        <v>41617.589999999997</v>
      </c>
      <c r="J970" s="2">
        <v>36229.83</v>
      </c>
      <c r="K970" s="3">
        <v>45675</v>
      </c>
      <c r="L970" s="3">
        <v>45678</v>
      </c>
      <c r="M970" s="2" t="s">
        <v>50</v>
      </c>
      <c r="N970" s="2">
        <v>3</v>
      </c>
      <c r="O970" s="2" t="s">
        <v>235</v>
      </c>
      <c r="P970" s="25">
        <v>9.1</v>
      </c>
      <c r="Q970" t="str">
        <f t="shared" si="137"/>
        <v>0969</v>
      </c>
      <c r="R970" t="str">
        <f>IF('RETAIL SALES DATA.'!H970&gt;AVERAGE('RETAIL SALES DATA.'!H970:H1969),"HIGHEST VALUE","LOWEST VALUE")</f>
        <v>HIGHEST VALUE</v>
      </c>
      <c r="S970" t="str">
        <f t="shared" si="145"/>
        <v>Profit</v>
      </c>
      <c r="T970" t="str">
        <f t="shared" si="138"/>
        <v>Brenda Dean</v>
      </c>
      <c r="U970" t="str">
        <f t="shared" si="139"/>
        <v>Chair</v>
      </c>
      <c r="V970">
        <f t="shared" si="140"/>
        <v>2025</v>
      </c>
      <c r="W970">
        <f t="shared" si="141"/>
        <v>1</v>
      </c>
      <c r="X970">
        <f t="shared" si="142"/>
        <v>18</v>
      </c>
      <c r="Y970" t="str">
        <f t="shared" si="143"/>
        <v>Jan</v>
      </c>
      <c r="Z970">
        <f t="shared" si="144"/>
        <v>3</v>
      </c>
    </row>
    <row r="971" spans="1:26" ht="15.75" customHeight="1" x14ac:dyDescent="0.3">
      <c r="A971" s="2" t="s">
        <v>2216</v>
      </c>
      <c r="B971" s="2" t="s">
        <v>2217</v>
      </c>
      <c r="C971" s="2" t="s">
        <v>88</v>
      </c>
      <c r="D971" s="2" t="s">
        <v>31</v>
      </c>
      <c r="E971" s="2" t="s">
        <v>25</v>
      </c>
      <c r="F971" s="2">
        <v>8</v>
      </c>
      <c r="G971" s="2">
        <v>4732.07</v>
      </c>
      <c r="H971" s="2">
        <v>37856.559999999998</v>
      </c>
      <c r="I971" s="2">
        <v>19472.169999999998</v>
      </c>
      <c r="J971" s="2">
        <v>18384.39</v>
      </c>
      <c r="K971" s="3">
        <v>46048</v>
      </c>
      <c r="L971" s="3">
        <v>46056</v>
      </c>
      <c r="M971" s="2" t="s">
        <v>45</v>
      </c>
      <c r="N971" s="2">
        <v>5</v>
      </c>
      <c r="O971" s="2" t="s">
        <v>1542</v>
      </c>
      <c r="P971" s="25">
        <v>7.8</v>
      </c>
      <c r="Q971" t="str">
        <f t="shared" si="137"/>
        <v>0970</v>
      </c>
      <c r="R971" t="str">
        <f>IF('RETAIL SALES DATA.'!H971&gt;AVERAGE('RETAIL SALES DATA.'!H971:H1970),"HIGHEST VALUE","LOWEST VALUE")</f>
        <v>HIGHEST VALUE</v>
      </c>
      <c r="S971" t="str">
        <f t="shared" si="145"/>
        <v>Profit</v>
      </c>
      <c r="T971" t="str">
        <f t="shared" si="138"/>
        <v>Erin Salas</v>
      </c>
      <c r="U971" t="str">
        <f t="shared" si="139"/>
        <v>Cupboard</v>
      </c>
      <c r="V971">
        <f t="shared" si="140"/>
        <v>2026</v>
      </c>
      <c r="W971">
        <f t="shared" si="141"/>
        <v>2</v>
      </c>
      <c r="X971">
        <f t="shared" si="142"/>
        <v>26</v>
      </c>
      <c r="Y971" t="str">
        <f t="shared" si="143"/>
        <v>Jan</v>
      </c>
      <c r="Z971">
        <f t="shared" si="144"/>
        <v>8</v>
      </c>
    </row>
    <row r="972" spans="1:26" ht="15.75" customHeight="1" x14ac:dyDescent="0.3">
      <c r="A972" s="2" t="s">
        <v>2218</v>
      </c>
      <c r="B972" s="2" t="s">
        <v>2219</v>
      </c>
      <c r="C972" s="2" t="s">
        <v>195</v>
      </c>
      <c r="D972" s="2" t="s">
        <v>43</v>
      </c>
      <c r="E972" s="2" t="s">
        <v>32</v>
      </c>
      <c r="F972" s="2">
        <v>14</v>
      </c>
      <c r="G972" s="2">
        <v>2794.06</v>
      </c>
      <c r="H972" s="2">
        <v>39116.839999999997</v>
      </c>
      <c r="I972" s="2">
        <v>22490.77</v>
      </c>
      <c r="J972" s="2">
        <v>16626.07</v>
      </c>
      <c r="K972" s="3">
        <v>45984</v>
      </c>
      <c r="L972" s="3">
        <v>45994</v>
      </c>
      <c r="M972" s="2" t="s">
        <v>123</v>
      </c>
      <c r="N972" s="2">
        <v>4</v>
      </c>
      <c r="O972" s="2" t="s">
        <v>354</v>
      </c>
      <c r="P972" s="25">
        <v>8.6999999999999993</v>
      </c>
      <c r="Q972" t="str">
        <f t="shared" si="137"/>
        <v>0971</v>
      </c>
      <c r="R972" t="str">
        <f>IF('RETAIL SALES DATA.'!H972&gt;AVERAGE('RETAIL SALES DATA.'!H972:H1971),"HIGHEST VALUE","LOWEST VALUE")</f>
        <v>HIGHEST VALUE</v>
      </c>
      <c r="S972" t="str">
        <f t="shared" si="145"/>
        <v>Profit</v>
      </c>
      <c r="T972" t="str">
        <f t="shared" si="138"/>
        <v>Charles Gonzalez</v>
      </c>
      <c r="U972" t="str">
        <f t="shared" si="139"/>
        <v>Monitor</v>
      </c>
      <c r="V972">
        <f t="shared" si="140"/>
        <v>2025</v>
      </c>
      <c r="W972">
        <f t="shared" si="141"/>
        <v>12</v>
      </c>
      <c r="X972">
        <f t="shared" si="142"/>
        <v>23</v>
      </c>
      <c r="Y972" t="str">
        <f t="shared" si="143"/>
        <v>Nov</v>
      </c>
      <c r="Z972">
        <f t="shared" si="144"/>
        <v>10</v>
      </c>
    </row>
    <row r="973" spans="1:26" ht="15.75" customHeight="1" x14ac:dyDescent="0.3">
      <c r="A973" s="2" t="s">
        <v>2220</v>
      </c>
      <c r="B973" s="2" t="s">
        <v>2221</v>
      </c>
      <c r="C973" s="2" t="s">
        <v>42</v>
      </c>
      <c r="D973" s="2" t="s">
        <v>43</v>
      </c>
      <c r="E973" s="2" t="s">
        <v>25</v>
      </c>
      <c r="F973" s="2">
        <v>11</v>
      </c>
      <c r="G973" s="2">
        <v>1098.53</v>
      </c>
      <c r="H973" s="2">
        <v>12083.83</v>
      </c>
      <c r="I973" s="2">
        <v>10432.15</v>
      </c>
      <c r="J973" s="2">
        <v>1651.68</v>
      </c>
      <c r="K973" s="3">
        <v>46002</v>
      </c>
      <c r="L973" s="3">
        <v>46009</v>
      </c>
      <c r="M973" s="2" t="s">
        <v>21</v>
      </c>
      <c r="N973" s="2">
        <v>3</v>
      </c>
      <c r="O973" s="2" t="s">
        <v>187</v>
      </c>
      <c r="P973" s="25">
        <v>6.2</v>
      </c>
      <c r="Q973" t="str">
        <f t="shared" si="137"/>
        <v>0972</v>
      </c>
      <c r="R973" t="str">
        <f>IF('RETAIL SALES DATA.'!H973&gt;AVERAGE('RETAIL SALES DATA.'!H973:H1972),"HIGHEST VALUE","LOWEST VALUE")</f>
        <v>LOWEST VALUE</v>
      </c>
      <c r="S973" t="str">
        <f t="shared" si="145"/>
        <v>Profit</v>
      </c>
      <c r="T973" t="str">
        <f t="shared" si="138"/>
        <v>Nicole Cabrera</v>
      </c>
      <c r="U973" t="str">
        <f t="shared" si="139"/>
        <v>Laptop</v>
      </c>
      <c r="V973">
        <f t="shared" si="140"/>
        <v>2025</v>
      </c>
      <c r="W973">
        <f t="shared" si="141"/>
        <v>12</v>
      </c>
      <c r="X973">
        <f t="shared" si="142"/>
        <v>11</v>
      </c>
      <c r="Y973" t="str">
        <f t="shared" si="143"/>
        <v>Dec</v>
      </c>
      <c r="Z973">
        <f t="shared" si="144"/>
        <v>7</v>
      </c>
    </row>
    <row r="974" spans="1:26" ht="15.75" customHeight="1" x14ac:dyDescent="0.3">
      <c r="A974" s="2" t="s">
        <v>2222</v>
      </c>
      <c r="B974" s="2" t="s">
        <v>2223</v>
      </c>
      <c r="C974" s="2" t="s">
        <v>139</v>
      </c>
      <c r="D974" s="2" t="s">
        <v>31</v>
      </c>
      <c r="E974" s="2" t="s">
        <v>44</v>
      </c>
      <c r="F974" s="2">
        <v>2</v>
      </c>
      <c r="G974" s="2">
        <v>539.51</v>
      </c>
      <c r="H974" s="2">
        <v>1079.02</v>
      </c>
      <c r="I974" s="2">
        <v>889.46</v>
      </c>
      <c r="J974" s="2">
        <v>189.56</v>
      </c>
      <c r="K974" s="3">
        <v>45944</v>
      </c>
      <c r="L974" s="3">
        <v>45947</v>
      </c>
      <c r="M974" s="2" t="s">
        <v>38</v>
      </c>
      <c r="N974" s="2">
        <v>2</v>
      </c>
      <c r="O974" s="2" t="s">
        <v>260</v>
      </c>
      <c r="P974" s="25">
        <v>6.4</v>
      </c>
      <c r="Q974" t="str">
        <f t="shared" si="137"/>
        <v>0973</v>
      </c>
      <c r="R974" t="str">
        <f>IF('RETAIL SALES DATA.'!H974&gt;AVERAGE('RETAIL SALES DATA.'!H974:H1973),"HIGHEST VALUE","LOWEST VALUE")</f>
        <v>LOWEST VALUE</v>
      </c>
      <c r="S974" t="str">
        <f t="shared" si="145"/>
        <v>Profit</v>
      </c>
      <c r="T974" t="str">
        <f t="shared" si="138"/>
        <v>Dr. Matthew Perkins</v>
      </c>
      <c r="U974" t="str">
        <f t="shared" si="139"/>
        <v>Sofa</v>
      </c>
      <c r="V974">
        <f t="shared" si="140"/>
        <v>2025</v>
      </c>
      <c r="W974">
        <f t="shared" si="141"/>
        <v>10</v>
      </c>
      <c r="X974">
        <f t="shared" si="142"/>
        <v>14</v>
      </c>
      <c r="Y974" t="str">
        <f t="shared" si="143"/>
        <v>Oct</v>
      </c>
      <c r="Z974">
        <f t="shared" si="144"/>
        <v>3</v>
      </c>
    </row>
    <row r="975" spans="1:26" ht="15.75" customHeight="1" x14ac:dyDescent="0.3">
      <c r="A975" s="2" t="s">
        <v>2224</v>
      </c>
      <c r="B975" s="2" t="s">
        <v>2225</v>
      </c>
      <c r="C975" s="2" t="s">
        <v>18</v>
      </c>
      <c r="D975" s="2" t="s">
        <v>19</v>
      </c>
      <c r="E975" s="2" t="s">
        <v>32</v>
      </c>
      <c r="F975" s="2">
        <v>8</v>
      </c>
      <c r="G975" s="2">
        <v>3345.13</v>
      </c>
      <c r="H975" s="2">
        <v>26761.040000000001</v>
      </c>
      <c r="I975" s="2">
        <v>21430.720000000001</v>
      </c>
      <c r="J975" s="2">
        <v>5330.32</v>
      </c>
      <c r="K975" s="3">
        <v>46003</v>
      </c>
      <c r="L975" s="3">
        <v>46007</v>
      </c>
      <c r="M975" s="2" t="s">
        <v>21</v>
      </c>
      <c r="N975" s="2">
        <v>2</v>
      </c>
      <c r="O975" s="2" t="s">
        <v>483</v>
      </c>
      <c r="P975" s="25">
        <v>6.8</v>
      </c>
      <c r="Q975" t="str">
        <f t="shared" si="137"/>
        <v>0974</v>
      </c>
      <c r="R975" t="str">
        <f>IF('RETAIL SALES DATA.'!H975&gt;AVERAGE('RETAIL SALES DATA.'!H975:H1974),"HIGHEST VALUE","LOWEST VALUE")</f>
        <v>LOWEST VALUE</v>
      </c>
      <c r="S975" t="str">
        <f t="shared" si="145"/>
        <v>Profit</v>
      </c>
      <c r="T975" t="str">
        <f t="shared" si="138"/>
        <v>Jennifer Hall</v>
      </c>
      <c r="U975" t="str">
        <f t="shared" si="139"/>
        <v>Pen</v>
      </c>
      <c r="V975">
        <f t="shared" si="140"/>
        <v>2025</v>
      </c>
      <c r="W975">
        <f t="shared" si="141"/>
        <v>12</v>
      </c>
      <c r="X975">
        <f t="shared" si="142"/>
        <v>12</v>
      </c>
      <c r="Y975" t="str">
        <f t="shared" si="143"/>
        <v>Dec</v>
      </c>
      <c r="Z975">
        <f t="shared" si="144"/>
        <v>4</v>
      </c>
    </row>
    <row r="976" spans="1:26" ht="15.75" customHeight="1" x14ac:dyDescent="0.3">
      <c r="A976" s="2" t="s">
        <v>2226</v>
      </c>
      <c r="B976" s="2" t="s">
        <v>2227</v>
      </c>
      <c r="C976" s="2" t="s">
        <v>30</v>
      </c>
      <c r="D976" s="2" t="s">
        <v>31</v>
      </c>
      <c r="E976" s="2" t="s">
        <v>25</v>
      </c>
      <c r="F976" s="2">
        <v>5</v>
      </c>
      <c r="G976" s="2">
        <v>3035.32</v>
      </c>
      <c r="H976" s="2">
        <v>15176.6</v>
      </c>
      <c r="I976" s="2">
        <v>10033.64</v>
      </c>
      <c r="J976" s="2">
        <v>5142.96</v>
      </c>
      <c r="K976" s="3">
        <v>45944</v>
      </c>
      <c r="L976" s="3">
        <v>45947</v>
      </c>
      <c r="M976" s="2" t="s">
        <v>50</v>
      </c>
      <c r="N976" s="2">
        <v>1</v>
      </c>
      <c r="O976" s="2" t="s">
        <v>202</v>
      </c>
      <c r="P976" s="25">
        <v>6.2</v>
      </c>
      <c r="Q976" t="str">
        <f t="shared" si="137"/>
        <v>0975</v>
      </c>
      <c r="R976" t="str">
        <f>IF('RETAIL SALES DATA.'!H976&gt;AVERAGE('RETAIL SALES DATA.'!H976:H1975),"HIGHEST VALUE","LOWEST VALUE")</f>
        <v>LOWEST VALUE</v>
      </c>
      <c r="S976" t="str">
        <f t="shared" si="145"/>
        <v>Profit</v>
      </c>
      <c r="T976" t="str">
        <f t="shared" si="138"/>
        <v>Johnny Lewis</v>
      </c>
      <c r="U976" t="str">
        <f t="shared" si="139"/>
        <v>Desk</v>
      </c>
      <c r="V976">
        <f t="shared" si="140"/>
        <v>2025</v>
      </c>
      <c r="W976">
        <f t="shared" si="141"/>
        <v>10</v>
      </c>
      <c r="X976">
        <f t="shared" si="142"/>
        <v>14</v>
      </c>
      <c r="Y976" t="str">
        <f t="shared" si="143"/>
        <v>Oct</v>
      </c>
      <c r="Z976">
        <f t="shared" si="144"/>
        <v>3</v>
      </c>
    </row>
    <row r="977" spans="1:26" ht="15.75" customHeight="1" x14ac:dyDescent="0.3">
      <c r="A977" s="2" t="s">
        <v>2228</v>
      </c>
      <c r="B977" s="2" t="s">
        <v>2229</v>
      </c>
      <c r="C977" s="2" t="s">
        <v>18</v>
      </c>
      <c r="D977" s="2" t="s">
        <v>19</v>
      </c>
      <c r="E977" s="2" t="s">
        <v>44</v>
      </c>
      <c r="F977" s="2">
        <v>19</v>
      </c>
      <c r="G977" s="2">
        <v>3551.08</v>
      </c>
      <c r="H977" s="2">
        <v>67470.52</v>
      </c>
      <c r="I977" s="2">
        <v>54994.22</v>
      </c>
      <c r="J977" s="2">
        <v>12476.3</v>
      </c>
      <c r="K977" s="3">
        <v>45678</v>
      </c>
      <c r="L977" s="3">
        <v>45686</v>
      </c>
      <c r="M977" s="2" t="s">
        <v>123</v>
      </c>
      <c r="N977" s="2">
        <v>3</v>
      </c>
      <c r="O977" s="2" t="s">
        <v>839</v>
      </c>
      <c r="P977" s="25">
        <v>9</v>
      </c>
      <c r="Q977" t="str">
        <f t="shared" si="137"/>
        <v>0976</v>
      </c>
      <c r="R977" t="str">
        <f>IF('RETAIL SALES DATA.'!H977&gt;AVERAGE('RETAIL SALES DATA.'!H977:H1976),"HIGHEST VALUE","LOWEST VALUE")</f>
        <v>HIGHEST VALUE</v>
      </c>
      <c r="S977" t="str">
        <f t="shared" si="145"/>
        <v>Profit</v>
      </c>
      <c r="T977" t="str">
        <f t="shared" si="138"/>
        <v>Francisco Morales</v>
      </c>
      <c r="U977" t="str">
        <f t="shared" si="139"/>
        <v>Pen</v>
      </c>
      <c r="V977">
        <f t="shared" si="140"/>
        <v>2025</v>
      </c>
      <c r="W977">
        <f t="shared" si="141"/>
        <v>1</v>
      </c>
      <c r="X977">
        <f t="shared" si="142"/>
        <v>21</v>
      </c>
      <c r="Y977" t="str">
        <f t="shared" si="143"/>
        <v>Jan</v>
      </c>
      <c r="Z977">
        <f t="shared" si="144"/>
        <v>8</v>
      </c>
    </row>
    <row r="978" spans="1:26" ht="15.75" customHeight="1" x14ac:dyDescent="0.3">
      <c r="A978" s="2" t="s">
        <v>2230</v>
      </c>
      <c r="B978" s="2" t="s">
        <v>2231</v>
      </c>
      <c r="C978" s="2" t="s">
        <v>168</v>
      </c>
      <c r="D978" s="2" t="s">
        <v>43</v>
      </c>
      <c r="E978" s="2" t="s">
        <v>32</v>
      </c>
      <c r="F978" s="2">
        <v>5</v>
      </c>
      <c r="G978" s="2">
        <v>2314.14</v>
      </c>
      <c r="H978" s="2">
        <v>11570.7</v>
      </c>
      <c r="I978" s="2">
        <v>10386.82</v>
      </c>
      <c r="J978" s="2">
        <v>1183.8800000000001</v>
      </c>
      <c r="K978" s="3">
        <v>46025</v>
      </c>
      <c r="L978" s="3">
        <v>46035</v>
      </c>
      <c r="M978" s="2" t="s">
        <v>69</v>
      </c>
      <c r="N978" s="2">
        <v>1</v>
      </c>
      <c r="O978" s="2" t="s">
        <v>1268</v>
      </c>
      <c r="P978" s="25">
        <v>7.3</v>
      </c>
      <c r="Q978" t="str">
        <f t="shared" si="137"/>
        <v>0977</v>
      </c>
      <c r="R978" t="str">
        <f>IF('RETAIL SALES DATA.'!H978&gt;AVERAGE('RETAIL SALES DATA.'!H978:H1977),"HIGHEST VALUE","LOWEST VALUE")</f>
        <v>LOWEST VALUE</v>
      </c>
      <c r="S978" t="str">
        <f t="shared" si="145"/>
        <v>Profit</v>
      </c>
      <c r="T978" t="str">
        <f t="shared" si="138"/>
        <v>John Gomez</v>
      </c>
      <c r="U978" t="str">
        <f t="shared" si="139"/>
        <v>Keyboard</v>
      </c>
      <c r="V978">
        <f t="shared" si="140"/>
        <v>2026</v>
      </c>
      <c r="W978">
        <f t="shared" si="141"/>
        <v>1</v>
      </c>
      <c r="X978">
        <f t="shared" si="142"/>
        <v>3</v>
      </c>
      <c r="Y978" t="str">
        <f t="shared" si="143"/>
        <v>Jan</v>
      </c>
      <c r="Z978">
        <f t="shared" si="144"/>
        <v>10</v>
      </c>
    </row>
    <row r="979" spans="1:26" ht="15.75" customHeight="1" x14ac:dyDescent="0.3">
      <c r="A979" s="2" t="s">
        <v>2232</v>
      </c>
      <c r="B979" s="2" t="s">
        <v>2233</v>
      </c>
      <c r="C979" s="2" t="s">
        <v>168</v>
      </c>
      <c r="D979" s="2" t="s">
        <v>43</v>
      </c>
      <c r="E979" s="2" t="s">
        <v>25</v>
      </c>
      <c r="F979" s="2">
        <v>15</v>
      </c>
      <c r="G979" s="2">
        <v>3500.17</v>
      </c>
      <c r="H979" s="2">
        <v>52502.55</v>
      </c>
      <c r="I979" s="2">
        <v>44022.32</v>
      </c>
      <c r="J979" s="2">
        <v>8480.23</v>
      </c>
      <c r="K979" s="3">
        <v>45956</v>
      </c>
      <c r="L979" s="3">
        <v>45964</v>
      </c>
      <c r="M979" s="2" t="s">
        <v>21</v>
      </c>
      <c r="N979" s="2">
        <v>2</v>
      </c>
      <c r="O979" s="2" t="s">
        <v>441</v>
      </c>
      <c r="P979" s="25">
        <v>9.8000000000000007</v>
      </c>
      <c r="Q979" t="str">
        <f t="shared" si="137"/>
        <v>0978</v>
      </c>
      <c r="R979" t="str">
        <f>IF('RETAIL SALES DATA.'!H979&gt;AVERAGE('RETAIL SALES DATA.'!H979:H1978),"HIGHEST VALUE","LOWEST VALUE")</f>
        <v>HIGHEST VALUE</v>
      </c>
      <c r="S979" t="str">
        <f t="shared" si="145"/>
        <v>Profit</v>
      </c>
      <c r="T979" t="str">
        <f t="shared" si="138"/>
        <v>Krista Nash</v>
      </c>
      <c r="U979" t="str">
        <f t="shared" si="139"/>
        <v>Keyboard</v>
      </c>
      <c r="V979">
        <f t="shared" si="140"/>
        <v>2025</v>
      </c>
      <c r="W979">
        <f t="shared" si="141"/>
        <v>11</v>
      </c>
      <c r="X979">
        <f t="shared" si="142"/>
        <v>26</v>
      </c>
      <c r="Y979" t="str">
        <f t="shared" si="143"/>
        <v>Oct</v>
      </c>
      <c r="Z979">
        <f t="shared" si="144"/>
        <v>8</v>
      </c>
    </row>
    <row r="980" spans="1:26" ht="15.75" customHeight="1" x14ac:dyDescent="0.3">
      <c r="A980" s="2" t="s">
        <v>2234</v>
      </c>
      <c r="B980" s="2" t="s">
        <v>2235</v>
      </c>
      <c r="C980" s="2" t="s">
        <v>95</v>
      </c>
      <c r="D980" s="2" t="s">
        <v>19</v>
      </c>
      <c r="E980" s="2" t="s">
        <v>44</v>
      </c>
      <c r="F980" s="2">
        <v>20</v>
      </c>
      <c r="G980" s="2">
        <v>3306.71</v>
      </c>
      <c r="H980" s="2">
        <v>66134.2</v>
      </c>
      <c r="I980" s="2">
        <v>42136.49</v>
      </c>
      <c r="J980" s="2">
        <v>23997.71</v>
      </c>
      <c r="K980" s="3">
        <v>45721</v>
      </c>
      <c r="L980" s="3">
        <v>45726</v>
      </c>
      <c r="M980" s="2" t="s">
        <v>21</v>
      </c>
      <c r="N980" s="2">
        <v>3</v>
      </c>
      <c r="O980" s="2" t="s">
        <v>767</v>
      </c>
      <c r="P980" s="25">
        <v>6.9</v>
      </c>
      <c r="Q980" t="str">
        <f t="shared" si="137"/>
        <v>0979</v>
      </c>
      <c r="R980" t="str">
        <f>IF('RETAIL SALES DATA.'!H980&gt;AVERAGE('RETAIL SALES DATA.'!H980:H1979),"HIGHEST VALUE","LOWEST VALUE")</f>
        <v>HIGHEST VALUE</v>
      </c>
      <c r="S980" t="str">
        <f t="shared" si="145"/>
        <v>Profit</v>
      </c>
      <c r="T980" t="str">
        <f t="shared" si="138"/>
        <v>Karen Lloyd</v>
      </c>
      <c r="U980" t="str">
        <f t="shared" si="139"/>
        <v>Printer</v>
      </c>
      <c r="V980">
        <f t="shared" si="140"/>
        <v>2025</v>
      </c>
      <c r="W980">
        <f t="shared" si="141"/>
        <v>3</v>
      </c>
      <c r="X980">
        <f t="shared" si="142"/>
        <v>5</v>
      </c>
      <c r="Y980" t="str">
        <f t="shared" si="143"/>
        <v>Mar</v>
      </c>
      <c r="Z980">
        <f t="shared" si="144"/>
        <v>5</v>
      </c>
    </row>
    <row r="981" spans="1:26" ht="15.75" customHeight="1" x14ac:dyDescent="0.3">
      <c r="A981" s="2" t="s">
        <v>2236</v>
      </c>
      <c r="B981" s="2" t="s">
        <v>2237</v>
      </c>
      <c r="C981" s="2" t="s">
        <v>49</v>
      </c>
      <c r="D981" s="2" t="s">
        <v>43</v>
      </c>
      <c r="E981" s="2" t="s">
        <v>25</v>
      </c>
      <c r="F981" s="2">
        <v>5</v>
      </c>
      <c r="G981" s="2">
        <v>3739.15</v>
      </c>
      <c r="H981" s="2">
        <v>18695.75</v>
      </c>
      <c r="I981" s="2">
        <v>9990.15</v>
      </c>
      <c r="J981" s="2">
        <v>8705.6</v>
      </c>
      <c r="K981" s="3">
        <v>46075</v>
      </c>
      <c r="L981" s="3">
        <v>46082</v>
      </c>
      <c r="M981" s="2" t="s">
        <v>45</v>
      </c>
      <c r="N981" s="2">
        <v>4</v>
      </c>
      <c r="O981" s="2" t="s">
        <v>270</v>
      </c>
      <c r="P981" s="25">
        <v>9.6999999999999993</v>
      </c>
      <c r="Q981" t="str">
        <f t="shared" si="137"/>
        <v>0980</v>
      </c>
      <c r="R981" t="str">
        <f>IF('RETAIL SALES DATA.'!H981&gt;AVERAGE('RETAIL SALES DATA.'!H981:H1980),"HIGHEST VALUE","LOWEST VALUE")</f>
        <v>LOWEST VALUE</v>
      </c>
      <c r="S981" t="str">
        <f t="shared" si="145"/>
        <v>Profit</v>
      </c>
      <c r="T981" t="str">
        <f t="shared" si="138"/>
        <v>Kathleen Melton</v>
      </c>
      <c r="U981" t="str">
        <f t="shared" si="139"/>
        <v>Mouse</v>
      </c>
      <c r="V981">
        <f t="shared" si="140"/>
        <v>2026</v>
      </c>
      <c r="W981">
        <f t="shared" si="141"/>
        <v>3</v>
      </c>
      <c r="X981">
        <f t="shared" si="142"/>
        <v>22</v>
      </c>
      <c r="Y981" t="str">
        <f t="shared" si="143"/>
        <v>Feb</v>
      </c>
      <c r="Z981">
        <f t="shared" si="144"/>
        <v>7</v>
      </c>
    </row>
    <row r="982" spans="1:26" ht="15.75" customHeight="1" x14ac:dyDescent="0.3">
      <c r="A982" s="2" t="s">
        <v>2238</v>
      </c>
      <c r="B982" s="2" t="s">
        <v>2239</v>
      </c>
      <c r="C982" s="2" t="s">
        <v>195</v>
      </c>
      <c r="D982" s="2" t="s">
        <v>43</v>
      </c>
      <c r="E982" s="2" t="s">
        <v>20</v>
      </c>
      <c r="F982" s="2">
        <v>8</v>
      </c>
      <c r="G982" s="2">
        <v>2916.68</v>
      </c>
      <c r="H982" s="2">
        <v>23333.439999999999</v>
      </c>
      <c r="I982" s="2">
        <v>15207.54</v>
      </c>
      <c r="J982" s="2">
        <v>8125.9</v>
      </c>
      <c r="K982" s="3">
        <v>46147</v>
      </c>
      <c r="L982" s="3">
        <v>46155</v>
      </c>
      <c r="M982" s="2" t="s">
        <v>45</v>
      </c>
      <c r="N982" s="2">
        <v>3</v>
      </c>
      <c r="O982" s="2" t="s">
        <v>936</v>
      </c>
      <c r="P982" s="25">
        <v>6.8</v>
      </c>
      <c r="Q982" t="str">
        <f t="shared" si="137"/>
        <v>0981</v>
      </c>
      <c r="R982" t="str">
        <f>IF('RETAIL SALES DATA.'!H982&gt;AVERAGE('RETAIL SALES DATA.'!H982:H1981),"HIGHEST VALUE","LOWEST VALUE")</f>
        <v>LOWEST VALUE</v>
      </c>
      <c r="S982" t="str">
        <f t="shared" si="145"/>
        <v>Profit</v>
      </c>
      <c r="T982" t="str">
        <f t="shared" si="138"/>
        <v>Carl Parker</v>
      </c>
      <c r="U982" t="str">
        <f t="shared" si="139"/>
        <v>Monitor</v>
      </c>
      <c r="V982">
        <f t="shared" si="140"/>
        <v>2026</v>
      </c>
      <c r="W982">
        <f t="shared" si="141"/>
        <v>5</v>
      </c>
      <c r="X982">
        <f t="shared" si="142"/>
        <v>5</v>
      </c>
      <c r="Y982" t="str">
        <f t="shared" si="143"/>
        <v>May</v>
      </c>
      <c r="Z982">
        <f t="shared" si="144"/>
        <v>8</v>
      </c>
    </row>
    <row r="983" spans="1:26" ht="15.75" customHeight="1" x14ac:dyDescent="0.3">
      <c r="A983" s="2" t="s">
        <v>2240</v>
      </c>
      <c r="B983" s="2" t="s">
        <v>2241</v>
      </c>
      <c r="C983" s="2" t="s">
        <v>168</v>
      </c>
      <c r="D983" s="2" t="s">
        <v>43</v>
      </c>
      <c r="E983" s="2" t="s">
        <v>44</v>
      </c>
      <c r="F983" s="2">
        <v>1</v>
      </c>
      <c r="G983" s="2">
        <v>2090.0100000000002</v>
      </c>
      <c r="H983" s="2">
        <v>2090.0100000000002</v>
      </c>
      <c r="I983" s="2">
        <v>1252.3</v>
      </c>
      <c r="J983" s="2">
        <v>837.71</v>
      </c>
      <c r="K983" s="3">
        <v>46134</v>
      </c>
      <c r="L983" s="3">
        <v>46136</v>
      </c>
      <c r="M983" s="2" t="s">
        <v>26</v>
      </c>
      <c r="N983" s="2">
        <v>4</v>
      </c>
      <c r="O983" s="2" t="s">
        <v>426</v>
      </c>
      <c r="P983" s="25">
        <v>8.5</v>
      </c>
      <c r="Q983" t="str">
        <f t="shared" si="137"/>
        <v>0982</v>
      </c>
      <c r="R983" t="str">
        <f>IF('RETAIL SALES DATA.'!H983&gt;AVERAGE('RETAIL SALES DATA.'!H983:H1982),"HIGHEST VALUE","LOWEST VALUE")</f>
        <v>LOWEST VALUE</v>
      </c>
      <c r="S983" t="str">
        <f t="shared" si="145"/>
        <v>Profit</v>
      </c>
      <c r="T983" t="str">
        <f t="shared" si="138"/>
        <v>Grant Hernandez</v>
      </c>
      <c r="U983" t="str">
        <f t="shared" si="139"/>
        <v>Keyboard</v>
      </c>
      <c r="V983">
        <f t="shared" si="140"/>
        <v>2026</v>
      </c>
      <c r="W983">
        <f t="shared" si="141"/>
        <v>4</v>
      </c>
      <c r="X983">
        <f t="shared" si="142"/>
        <v>22</v>
      </c>
      <c r="Y983" t="str">
        <f t="shared" si="143"/>
        <v>Apr</v>
      </c>
      <c r="Z983">
        <f t="shared" si="144"/>
        <v>2</v>
      </c>
    </row>
    <row r="984" spans="1:26" ht="15.75" customHeight="1" x14ac:dyDescent="0.3">
      <c r="A984" s="2" t="s">
        <v>2242</v>
      </c>
      <c r="B984" s="2" t="s">
        <v>2243</v>
      </c>
      <c r="C984" s="2" t="s">
        <v>30</v>
      </c>
      <c r="D984" s="2" t="s">
        <v>31</v>
      </c>
      <c r="E984" s="2" t="s">
        <v>32</v>
      </c>
      <c r="F984" s="2">
        <v>18</v>
      </c>
      <c r="G984" s="2">
        <v>3405.24</v>
      </c>
      <c r="H984" s="2">
        <v>61294.32</v>
      </c>
      <c r="I984" s="2">
        <v>38755.449999999997</v>
      </c>
      <c r="J984" s="2">
        <v>22538.87</v>
      </c>
      <c r="K984" s="3">
        <v>45584</v>
      </c>
      <c r="L984" s="3">
        <v>45594</v>
      </c>
      <c r="M984" s="2" t="s">
        <v>38</v>
      </c>
      <c r="N984" s="2">
        <v>3</v>
      </c>
      <c r="O984" s="2" t="s">
        <v>436</v>
      </c>
      <c r="P984" s="25">
        <v>7.3</v>
      </c>
      <c r="Q984" t="str">
        <f t="shared" si="137"/>
        <v>0983</v>
      </c>
      <c r="R984" t="str">
        <f>IF('RETAIL SALES DATA.'!H984&gt;AVERAGE('RETAIL SALES DATA.'!H984:H1983),"HIGHEST VALUE","LOWEST VALUE")</f>
        <v>HIGHEST VALUE</v>
      </c>
      <c r="S984" t="str">
        <f t="shared" si="145"/>
        <v>Profit</v>
      </c>
      <c r="T984" t="str">
        <f t="shared" si="138"/>
        <v>Jill Humphrey</v>
      </c>
      <c r="U984" t="str">
        <f t="shared" si="139"/>
        <v>Desk</v>
      </c>
      <c r="V984">
        <f t="shared" si="140"/>
        <v>2024</v>
      </c>
      <c r="W984">
        <f t="shared" si="141"/>
        <v>10</v>
      </c>
      <c r="X984">
        <f t="shared" si="142"/>
        <v>19</v>
      </c>
      <c r="Y984" t="str">
        <f t="shared" si="143"/>
        <v>Oct</v>
      </c>
      <c r="Z984">
        <f t="shared" si="144"/>
        <v>10</v>
      </c>
    </row>
    <row r="985" spans="1:26" ht="15.75" customHeight="1" x14ac:dyDescent="0.3">
      <c r="A985" s="2" t="s">
        <v>2244</v>
      </c>
      <c r="B985" s="2" t="s">
        <v>2245</v>
      </c>
      <c r="C985" s="2" t="s">
        <v>49</v>
      </c>
      <c r="D985" s="2" t="s">
        <v>43</v>
      </c>
      <c r="E985" s="2" t="s">
        <v>44</v>
      </c>
      <c r="F985" s="2">
        <v>10</v>
      </c>
      <c r="G985" s="2">
        <v>3653.68</v>
      </c>
      <c r="H985" s="2">
        <v>36536.800000000003</v>
      </c>
      <c r="I985" s="2">
        <v>24098.49</v>
      </c>
      <c r="J985" s="2">
        <v>12438.31</v>
      </c>
      <c r="K985" s="3">
        <v>46036</v>
      </c>
      <c r="L985" s="3">
        <v>46045</v>
      </c>
      <c r="M985" s="2" t="s">
        <v>181</v>
      </c>
      <c r="N985" s="2">
        <v>4</v>
      </c>
      <c r="O985" s="2" t="s">
        <v>604</v>
      </c>
      <c r="P985" s="25">
        <v>8.1</v>
      </c>
      <c r="Q985" t="str">
        <f t="shared" si="137"/>
        <v>0984</v>
      </c>
      <c r="R985" t="str">
        <f>IF('RETAIL SALES DATA.'!H985&gt;AVERAGE('RETAIL SALES DATA.'!H985:H1984),"HIGHEST VALUE","LOWEST VALUE")</f>
        <v>HIGHEST VALUE</v>
      </c>
      <c r="S985" t="str">
        <f t="shared" si="145"/>
        <v>Profit</v>
      </c>
      <c r="T985" t="str">
        <f t="shared" si="138"/>
        <v>Teresa Carpenter</v>
      </c>
      <c r="U985" t="str">
        <f t="shared" si="139"/>
        <v>Mouse</v>
      </c>
      <c r="V985">
        <f t="shared" si="140"/>
        <v>2026</v>
      </c>
      <c r="W985">
        <f t="shared" si="141"/>
        <v>1</v>
      </c>
      <c r="X985">
        <f t="shared" si="142"/>
        <v>14</v>
      </c>
      <c r="Y985" t="str">
        <f t="shared" si="143"/>
        <v>Jan</v>
      </c>
      <c r="Z985">
        <f t="shared" si="144"/>
        <v>9</v>
      </c>
    </row>
    <row r="986" spans="1:26" ht="15.75" customHeight="1" x14ac:dyDescent="0.3">
      <c r="A986" s="2" t="s">
        <v>2246</v>
      </c>
      <c r="B986" s="2" t="s">
        <v>2247</v>
      </c>
      <c r="C986" s="2" t="s">
        <v>57</v>
      </c>
      <c r="D986" s="2" t="s">
        <v>19</v>
      </c>
      <c r="E986" s="2" t="s">
        <v>25</v>
      </c>
      <c r="F986" s="2">
        <v>12</v>
      </c>
      <c r="G986" s="2">
        <v>3479.62</v>
      </c>
      <c r="H986" s="2">
        <v>41755.440000000002</v>
      </c>
      <c r="I986" s="2">
        <v>33214.83</v>
      </c>
      <c r="J986" s="2">
        <v>8540.61</v>
      </c>
      <c r="K986" s="3">
        <v>45885</v>
      </c>
      <c r="L986" s="3">
        <v>45894</v>
      </c>
      <c r="M986" s="2" t="s">
        <v>50</v>
      </c>
      <c r="N986" s="2">
        <v>2</v>
      </c>
      <c r="O986" s="2" t="s">
        <v>1390</v>
      </c>
      <c r="P986" s="25">
        <v>6.7</v>
      </c>
      <c r="Q986" t="str">
        <f t="shared" si="137"/>
        <v>0985</v>
      </c>
      <c r="R986" t="str">
        <f>IF('RETAIL SALES DATA.'!H986&gt;AVERAGE('RETAIL SALES DATA.'!H986:H1985),"HIGHEST VALUE","LOWEST VALUE")</f>
        <v>HIGHEST VALUE</v>
      </c>
      <c r="S986" t="str">
        <f t="shared" si="145"/>
        <v>Profit</v>
      </c>
      <c r="T986" t="str">
        <f t="shared" si="138"/>
        <v>Adam Nguyen</v>
      </c>
      <c r="U986" t="str">
        <f t="shared" si="139"/>
        <v>Notebook</v>
      </c>
      <c r="V986">
        <f t="shared" si="140"/>
        <v>2025</v>
      </c>
      <c r="W986">
        <f t="shared" si="141"/>
        <v>8</v>
      </c>
      <c r="X986">
        <f t="shared" si="142"/>
        <v>16</v>
      </c>
      <c r="Y986" t="str">
        <f t="shared" si="143"/>
        <v>Aug</v>
      </c>
      <c r="Z986">
        <f t="shared" si="144"/>
        <v>9</v>
      </c>
    </row>
    <row r="987" spans="1:26" ht="15.75" customHeight="1" x14ac:dyDescent="0.3">
      <c r="A987" s="2" t="s">
        <v>2248</v>
      </c>
      <c r="B987" s="2" t="s">
        <v>2249</v>
      </c>
      <c r="C987" s="2" t="s">
        <v>72</v>
      </c>
      <c r="D987" s="2" t="s">
        <v>31</v>
      </c>
      <c r="E987" s="2" t="s">
        <v>32</v>
      </c>
      <c r="F987" s="2">
        <v>19</v>
      </c>
      <c r="G987" s="2">
        <v>4406.07</v>
      </c>
      <c r="H987" s="2">
        <v>83715.33</v>
      </c>
      <c r="I987" s="2">
        <v>44752.480000000003</v>
      </c>
      <c r="J987" s="2">
        <v>38962.85</v>
      </c>
      <c r="K987" s="3">
        <v>45929</v>
      </c>
      <c r="L987" s="3">
        <v>45930</v>
      </c>
      <c r="M987" s="2" t="s">
        <v>69</v>
      </c>
      <c r="N987" s="2">
        <v>4</v>
      </c>
      <c r="O987" s="2" t="s">
        <v>530</v>
      </c>
      <c r="P987" s="25">
        <v>6.5</v>
      </c>
      <c r="Q987" t="str">
        <f t="shared" si="137"/>
        <v>0986</v>
      </c>
      <c r="R987" t="str">
        <f>IF('RETAIL SALES DATA.'!H987&gt;AVERAGE('RETAIL SALES DATA.'!H987:H1986),"HIGHEST VALUE","LOWEST VALUE")</f>
        <v>HIGHEST VALUE</v>
      </c>
      <c r="S987" t="str">
        <f t="shared" si="145"/>
        <v>Profit</v>
      </c>
      <c r="T987" t="str">
        <f t="shared" si="138"/>
        <v>Judy Scott</v>
      </c>
      <c r="U987" t="str">
        <f t="shared" si="139"/>
        <v>Chair</v>
      </c>
      <c r="V987">
        <f t="shared" si="140"/>
        <v>2025</v>
      </c>
      <c r="W987">
        <f t="shared" si="141"/>
        <v>9</v>
      </c>
      <c r="X987">
        <f t="shared" si="142"/>
        <v>29</v>
      </c>
      <c r="Y987" t="str">
        <f t="shared" si="143"/>
        <v>Sep</v>
      </c>
      <c r="Z987">
        <f t="shared" si="144"/>
        <v>1</v>
      </c>
    </row>
    <row r="988" spans="1:26" ht="15.75" customHeight="1" x14ac:dyDescent="0.3">
      <c r="A988" s="2" t="s">
        <v>2250</v>
      </c>
      <c r="B988" s="2" t="s">
        <v>2251</v>
      </c>
      <c r="C988" s="2" t="s">
        <v>72</v>
      </c>
      <c r="D988" s="2" t="s">
        <v>31</v>
      </c>
      <c r="E988" s="2" t="s">
        <v>20</v>
      </c>
      <c r="F988" s="2">
        <v>8</v>
      </c>
      <c r="G988" s="2">
        <v>1572.32</v>
      </c>
      <c r="H988" s="2">
        <v>12578.56</v>
      </c>
      <c r="I988" s="2">
        <v>6513.63</v>
      </c>
      <c r="J988" s="2">
        <v>6064.93</v>
      </c>
      <c r="K988" s="3">
        <v>45943</v>
      </c>
      <c r="L988" s="3">
        <v>45948</v>
      </c>
      <c r="M988" s="2" t="s">
        <v>50</v>
      </c>
      <c r="N988" s="2">
        <v>3</v>
      </c>
      <c r="O988" s="2" t="s">
        <v>936</v>
      </c>
      <c r="P988" s="25">
        <v>6.5</v>
      </c>
      <c r="Q988" t="str">
        <f t="shared" si="137"/>
        <v>0987</v>
      </c>
      <c r="R988" t="str">
        <f>IF('RETAIL SALES DATA.'!H988&gt;AVERAGE('RETAIL SALES DATA.'!H988:H1987),"HIGHEST VALUE","LOWEST VALUE")</f>
        <v>LOWEST VALUE</v>
      </c>
      <c r="S988" t="str">
        <f t="shared" si="145"/>
        <v>Profit</v>
      </c>
      <c r="T988" t="str">
        <f t="shared" si="138"/>
        <v>Donna Perez</v>
      </c>
      <c r="U988" t="str">
        <f t="shared" si="139"/>
        <v>Chair</v>
      </c>
      <c r="V988">
        <f t="shared" si="140"/>
        <v>2025</v>
      </c>
      <c r="W988">
        <f t="shared" si="141"/>
        <v>10</v>
      </c>
      <c r="X988">
        <f t="shared" si="142"/>
        <v>13</v>
      </c>
      <c r="Y988" t="str">
        <f t="shared" si="143"/>
        <v>Oct</v>
      </c>
      <c r="Z988">
        <f t="shared" si="144"/>
        <v>5</v>
      </c>
    </row>
    <row r="989" spans="1:26" ht="15.75" customHeight="1" x14ac:dyDescent="0.3">
      <c r="A989" s="2" t="s">
        <v>2252</v>
      </c>
      <c r="B989" s="2" t="s">
        <v>2253</v>
      </c>
      <c r="C989" s="2" t="s">
        <v>49</v>
      </c>
      <c r="D989" s="2" t="s">
        <v>43</v>
      </c>
      <c r="E989" s="2" t="s">
        <v>25</v>
      </c>
      <c r="F989" s="2">
        <v>4</v>
      </c>
      <c r="G989" s="2">
        <v>4578.84</v>
      </c>
      <c r="H989" s="2">
        <v>18315.36</v>
      </c>
      <c r="I989" s="2">
        <v>15707.67</v>
      </c>
      <c r="J989" s="2">
        <v>2607.69</v>
      </c>
      <c r="K989" s="3">
        <v>46129</v>
      </c>
      <c r="L989" s="3">
        <v>46136</v>
      </c>
      <c r="M989" s="2" t="s">
        <v>69</v>
      </c>
      <c r="N989" s="2">
        <v>4</v>
      </c>
      <c r="O989" s="2" t="s">
        <v>257</v>
      </c>
      <c r="P989" s="25">
        <v>6.7</v>
      </c>
      <c r="Q989" t="str">
        <f t="shared" si="137"/>
        <v>0988</v>
      </c>
      <c r="R989" t="str">
        <f>IF('RETAIL SALES DATA.'!H989&gt;AVERAGE('RETAIL SALES DATA.'!H989:H1988),"HIGHEST VALUE","LOWEST VALUE")</f>
        <v>LOWEST VALUE</v>
      </c>
      <c r="S989" t="str">
        <f t="shared" si="145"/>
        <v>Profit</v>
      </c>
      <c r="T989" t="str">
        <f t="shared" si="138"/>
        <v>Roger Davis</v>
      </c>
      <c r="U989" t="str">
        <f t="shared" si="139"/>
        <v>Mouse</v>
      </c>
      <c r="V989">
        <f t="shared" si="140"/>
        <v>2026</v>
      </c>
      <c r="W989">
        <f t="shared" si="141"/>
        <v>4</v>
      </c>
      <c r="X989">
        <f t="shared" si="142"/>
        <v>17</v>
      </c>
      <c r="Y989" t="str">
        <f t="shared" si="143"/>
        <v>Apr</v>
      </c>
      <c r="Z989">
        <f t="shared" si="144"/>
        <v>7</v>
      </c>
    </row>
    <row r="990" spans="1:26" ht="15.75" customHeight="1" x14ac:dyDescent="0.3">
      <c r="A990" s="2" t="s">
        <v>2254</v>
      </c>
      <c r="B990" s="2" t="s">
        <v>2255</v>
      </c>
      <c r="C990" s="2" t="s">
        <v>195</v>
      </c>
      <c r="D990" s="2" t="s">
        <v>43</v>
      </c>
      <c r="E990" s="2" t="s">
        <v>25</v>
      </c>
      <c r="F990" s="2">
        <v>6</v>
      </c>
      <c r="G990" s="2">
        <v>550.74</v>
      </c>
      <c r="H990" s="2">
        <v>3304.44</v>
      </c>
      <c r="I990" s="2">
        <v>2325.65</v>
      </c>
      <c r="J990" s="2">
        <v>978.79</v>
      </c>
      <c r="K990" s="3">
        <v>45485</v>
      </c>
      <c r="L990" s="3">
        <v>45494</v>
      </c>
      <c r="M990" s="2" t="s">
        <v>50</v>
      </c>
      <c r="N990" s="2">
        <v>4</v>
      </c>
      <c r="O990" s="2" t="s">
        <v>1060</v>
      </c>
      <c r="P990" s="25">
        <v>8.8000000000000007</v>
      </c>
      <c r="Q990" t="str">
        <f t="shared" si="137"/>
        <v>0989</v>
      </c>
      <c r="R990" t="str">
        <f>IF('RETAIL SALES DATA.'!H990&gt;AVERAGE('RETAIL SALES DATA.'!H990:H1989),"HIGHEST VALUE","LOWEST VALUE")</f>
        <v>LOWEST VALUE</v>
      </c>
      <c r="S990" t="str">
        <f t="shared" si="145"/>
        <v>Profit</v>
      </c>
      <c r="T990" t="str">
        <f t="shared" si="138"/>
        <v>Aaron Wood</v>
      </c>
      <c r="U990" t="str">
        <f t="shared" si="139"/>
        <v>Monitor</v>
      </c>
      <c r="V990">
        <f t="shared" si="140"/>
        <v>2024</v>
      </c>
      <c r="W990">
        <f t="shared" si="141"/>
        <v>7</v>
      </c>
      <c r="X990">
        <f t="shared" si="142"/>
        <v>12</v>
      </c>
      <c r="Y990" t="str">
        <f t="shared" si="143"/>
        <v>Jul</v>
      </c>
      <c r="Z990">
        <f t="shared" si="144"/>
        <v>9</v>
      </c>
    </row>
    <row r="991" spans="1:26" ht="15.75" customHeight="1" x14ac:dyDescent="0.3">
      <c r="A991" s="2" t="s">
        <v>2256</v>
      </c>
      <c r="B991" s="2" t="s">
        <v>2257</v>
      </c>
      <c r="C991" s="2" t="s">
        <v>139</v>
      </c>
      <c r="D991" s="2" t="s">
        <v>31</v>
      </c>
      <c r="E991" s="2" t="s">
        <v>25</v>
      </c>
      <c r="F991" s="2">
        <v>18</v>
      </c>
      <c r="G991" s="2">
        <v>4364.8900000000003</v>
      </c>
      <c r="H991" s="2">
        <v>78568.02</v>
      </c>
      <c r="I991" s="2">
        <v>61741.79</v>
      </c>
      <c r="J991" s="2">
        <v>16826.23</v>
      </c>
      <c r="K991" s="3">
        <v>45504</v>
      </c>
      <c r="L991" s="3">
        <v>45508</v>
      </c>
      <c r="M991" s="2" t="s">
        <v>123</v>
      </c>
      <c r="N991" s="2">
        <v>4</v>
      </c>
      <c r="O991" s="2" t="s">
        <v>276</v>
      </c>
      <c r="P991" s="25">
        <v>9.3000000000000007</v>
      </c>
      <c r="Q991" t="str">
        <f t="shared" si="137"/>
        <v>0990</v>
      </c>
      <c r="R991" t="str">
        <f>IF('RETAIL SALES DATA.'!H991&gt;AVERAGE('RETAIL SALES DATA.'!H991:H1990),"HIGHEST VALUE","LOWEST VALUE")</f>
        <v>HIGHEST VALUE</v>
      </c>
      <c r="S991" t="str">
        <f t="shared" si="145"/>
        <v>Profit</v>
      </c>
      <c r="T991" t="str">
        <f t="shared" si="138"/>
        <v>Jeremiah Hernandez</v>
      </c>
      <c r="U991" t="str">
        <f t="shared" si="139"/>
        <v>Sofa</v>
      </c>
      <c r="V991">
        <f t="shared" si="140"/>
        <v>2024</v>
      </c>
      <c r="W991">
        <f t="shared" si="141"/>
        <v>8</v>
      </c>
      <c r="X991">
        <f t="shared" si="142"/>
        <v>31</v>
      </c>
      <c r="Y991" t="str">
        <f t="shared" si="143"/>
        <v>Jul</v>
      </c>
      <c r="Z991">
        <f t="shared" si="144"/>
        <v>4</v>
      </c>
    </row>
    <row r="992" spans="1:26" ht="15.75" customHeight="1" x14ac:dyDescent="0.3">
      <c r="A992" s="2" t="s">
        <v>2258</v>
      </c>
      <c r="B992" s="2" t="s">
        <v>2259</v>
      </c>
      <c r="C992" s="2" t="s">
        <v>18</v>
      </c>
      <c r="D992" s="2" t="s">
        <v>19</v>
      </c>
      <c r="E992" s="2" t="s">
        <v>32</v>
      </c>
      <c r="F992" s="2">
        <v>10</v>
      </c>
      <c r="G992" s="2">
        <v>4355.87</v>
      </c>
      <c r="H992" s="2">
        <v>43558.7</v>
      </c>
      <c r="I992" s="2">
        <v>23775.87</v>
      </c>
      <c r="J992" s="2">
        <v>19782.830000000002</v>
      </c>
      <c r="K992" s="3">
        <v>45728</v>
      </c>
      <c r="L992" s="3">
        <v>45738</v>
      </c>
      <c r="M992" s="2" t="s">
        <v>21</v>
      </c>
      <c r="N992" s="2">
        <v>3</v>
      </c>
      <c r="O992" s="2" t="s">
        <v>340</v>
      </c>
      <c r="P992" s="25">
        <v>6</v>
      </c>
      <c r="Q992" t="str">
        <f t="shared" si="137"/>
        <v>0991</v>
      </c>
      <c r="R992" t="str">
        <f>IF('RETAIL SALES DATA.'!H992&gt;AVERAGE('RETAIL SALES DATA.'!H992:H1991),"HIGHEST VALUE","LOWEST VALUE")</f>
        <v>HIGHEST VALUE</v>
      </c>
      <c r="S992" t="str">
        <f t="shared" si="145"/>
        <v>Profit</v>
      </c>
      <c r="T992" t="str">
        <f t="shared" si="138"/>
        <v>Julie Long</v>
      </c>
      <c r="U992" t="str">
        <f t="shared" si="139"/>
        <v>Pen</v>
      </c>
      <c r="V992">
        <f t="shared" si="140"/>
        <v>2025</v>
      </c>
      <c r="W992">
        <f t="shared" si="141"/>
        <v>3</v>
      </c>
      <c r="X992">
        <f t="shared" si="142"/>
        <v>12</v>
      </c>
      <c r="Y992" t="str">
        <f t="shared" si="143"/>
        <v>Mar</v>
      </c>
      <c r="Z992">
        <f t="shared" si="144"/>
        <v>10</v>
      </c>
    </row>
    <row r="993" spans="1:26" ht="15.75" customHeight="1" x14ac:dyDescent="0.3">
      <c r="A993" s="2" t="s">
        <v>2260</v>
      </c>
      <c r="B993" s="2" t="s">
        <v>2261</v>
      </c>
      <c r="C993" s="2" t="s">
        <v>195</v>
      </c>
      <c r="D993" s="2" t="s">
        <v>43</v>
      </c>
      <c r="E993" s="2" t="s">
        <v>20</v>
      </c>
      <c r="F993" s="2">
        <v>10</v>
      </c>
      <c r="G993" s="2">
        <v>3972.18</v>
      </c>
      <c r="H993" s="2">
        <v>39721.800000000003</v>
      </c>
      <c r="I993" s="2">
        <v>32617.759999999998</v>
      </c>
      <c r="J993" s="2">
        <v>7104.04</v>
      </c>
      <c r="K993" s="3">
        <v>46006</v>
      </c>
      <c r="L993" s="3">
        <v>46014</v>
      </c>
      <c r="M993" s="2" t="s">
        <v>69</v>
      </c>
      <c r="N993" s="2">
        <v>4</v>
      </c>
      <c r="O993" s="2" t="s">
        <v>858</v>
      </c>
      <c r="P993" s="25">
        <v>7.2</v>
      </c>
      <c r="Q993" t="str">
        <f t="shared" si="137"/>
        <v>0992</v>
      </c>
      <c r="R993" t="str">
        <f>IF('RETAIL SALES DATA.'!H993&gt;AVERAGE('RETAIL SALES DATA.'!H993:H1992),"HIGHEST VALUE","LOWEST VALUE")</f>
        <v>HIGHEST VALUE</v>
      </c>
      <c r="S993" t="str">
        <f t="shared" si="145"/>
        <v>Profit</v>
      </c>
      <c r="T993" t="str">
        <f t="shared" si="138"/>
        <v>Michelle Willis</v>
      </c>
      <c r="U993" t="str">
        <f t="shared" si="139"/>
        <v>Monitor</v>
      </c>
      <c r="V993">
        <f t="shared" si="140"/>
        <v>2025</v>
      </c>
      <c r="W993">
        <f t="shared" si="141"/>
        <v>12</v>
      </c>
      <c r="X993">
        <f t="shared" si="142"/>
        <v>15</v>
      </c>
      <c r="Y993" t="str">
        <f t="shared" si="143"/>
        <v>Dec</v>
      </c>
      <c r="Z993">
        <f t="shared" si="144"/>
        <v>8</v>
      </c>
    </row>
    <row r="994" spans="1:26" ht="15.75" customHeight="1" x14ac:dyDescent="0.3">
      <c r="A994" s="2" t="s">
        <v>2262</v>
      </c>
      <c r="B994" s="2" t="s">
        <v>2263</v>
      </c>
      <c r="C994" s="2" t="s">
        <v>88</v>
      </c>
      <c r="D994" s="2" t="s">
        <v>31</v>
      </c>
      <c r="E994" s="2" t="s">
        <v>20</v>
      </c>
      <c r="F994" s="2">
        <v>4</v>
      </c>
      <c r="G994" s="2">
        <v>3087.66</v>
      </c>
      <c r="H994" s="2">
        <v>12350.64</v>
      </c>
      <c r="I994" s="2">
        <v>7077.18</v>
      </c>
      <c r="J994" s="2">
        <v>5273.46</v>
      </c>
      <c r="K994" s="3">
        <v>45861</v>
      </c>
      <c r="L994" s="3">
        <v>45871</v>
      </c>
      <c r="M994" s="2" t="s">
        <v>26</v>
      </c>
      <c r="N994" s="2">
        <v>5</v>
      </c>
      <c r="O994" s="2" t="s">
        <v>151</v>
      </c>
      <c r="P994" s="25">
        <v>8.6999999999999993</v>
      </c>
      <c r="Q994" t="str">
        <f t="shared" si="137"/>
        <v>0993</v>
      </c>
      <c r="R994" t="str">
        <f>IF('RETAIL SALES DATA.'!H994&gt;AVERAGE('RETAIL SALES DATA.'!H994:H1993),"HIGHEST VALUE","LOWEST VALUE")</f>
        <v>LOWEST VALUE</v>
      </c>
      <c r="S994" t="str">
        <f t="shared" si="145"/>
        <v>Profit</v>
      </c>
      <c r="T994" t="str">
        <f t="shared" si="138"/>
        <v>Jacqueline Bell</v>
      </c>
      <c r="U994" t="str">
        <f t="shared" si="139"/>
        <v>Cupboard</v>
      </c>
      <c r="V994">
        <f t="shared" si="140"/>
        <v>2025</v>
      </c>
      <c r="W994">
        <f t="shared" si="141"/>
        <v>8</v>
      </c>
      <c r="X994">
        <f t="shared" si="142"/>
        <v>23</v>
      </c>
      <c r="Y994" t="str">
        <f t="shared" si="143"/>
        <v>Jul</v>
      </c>
      <c r="Z994">
        <f t="shared" si="144"/>
        <v>10</v>
      </c>
    </row>
    <row r="995" spans="1:26" ht="15.75" customHeight="1" x14ac:dyDescent="0.3">
      <c r="A995" s="2" t="s">
        <v>2264</v>
      </c>
      <c r="B995" s="2" t="s">
        <v>2265</v>
      </c>
      <c r="C995" s="2" t="s">
        <v>18</v>
      </c>
      <c r="D995" s="2" t="s">
        <v>19</v>
      </c>
      <c r="E995" s="2" t="s">
        <v>25</v>
      </c>
      <c r="F995" s="2">
        <v>15</v>
      </c>
      <c r="G995" s="2">
        <v>1409.72</v>
      </c>
      <c r="H995" s="2">
        <v>21145.8</v>
      </c>
      <c r="I995" s="2">
        <v>14732.55</v>
      </c>
      <c r="J995" s="2">
        <v>6413.25</v>
      </c>
      <c r="K995" s="3">
        <v>46065</v>
      </c>
      <c r="L995" s="3">
        <v>46074</v>
      </c>
      <c r="M995" s="2" t="s">
        <v>58</v>
      </c>
      <c r="N995" s="2">
        <v>1</v>
      </c>
      <c r="O995" s="2" t="s">
        <v>455</v>
      </c>
      <c r="P995" s="25">
        <v>6.6</v>
      </c>
      <c r="Q995" t="str">
        <f t="shared" si="137"/>
        <v>0994</v>
      </c>
      <c r="R995" t="str">
        <f>IF('RETAIL SALES DATA.'!H995&gt;AVERAGE('RETAIL SALES DATA.'!H995:H1994),"HIGHEST VALUE","LOWEST VALUE")</f>
        <v>LOWEST VALUE</v>
      </c>
      <c r="S995" t="str">
        <f t="shared" si="145"/>
        <v>Profit</v>
      </c>
      <c r="T995" t="str">
        <f t="shared" si="138"/>
        <v>Shane Riley</v>
      </c>
      <c r="U995" t="str">
        <f t="shared" si="139"/>
        <v>Pen</v>
      </c>
      <c r="V995">
        <f t="shared" si="140"/>
        <v>2026</v>
      </c>
      <c r="W995">
        <f t="shared" si="141"/>
        <v>2</v>
      </c>
      <c r="X995">
        <f t="shared" si="142"/>
        <v>12</v>
      </c>
      <c r="Y995" t="str">
        <f t="shared" si="143"/>
        <v>Feb</v>
      </c>
      <c r="Z995">
        <f t="shared" si="144"/>
        <v>9</v>
      </c>
    </row>
    <row r="996" spans="1:26" ht="15.75" customHeight="1" x14ac:dyDescent="0.3">
      <c r="A996" s="2" t="s">
        <v>2266</v>
      </c>
      <c r="B996" s="2" t="s">
        <v>2267</v>
      </c>
      <c r="C996" s="2" t="s">
        <v>168</v>
      </c>
      <c r="D996" s="2" t="s">
        <v>43</v>
      </c>
      <c r="E996" s="2" t="s">
        <v>44</v>
      </c>
      <c r="F996" s="2">
        <v>11</v>
      </c>
      <c r="G996" s="2">
        <v>4684.12</v>
      </c>
      <c r="H996" s="2">
        <v>51525.32</v>
      </c>
      <c r="I996" s="2">
        <v>38936.71</v>
      </c>
      <c r="J996" s="2">
        <v>12588.61</v>
      </c>
      <c r="K996" s="3">
        <v>45833</v>
      </c>
      <c r="L996" s="3">
        <v>45843</v>
      </c>
      <c r="M996" s="2" t="s">
        <v>26</v>
      </c>
      <c r="N996" s="2">
        <v>1</v>
      </c>
      <c r="O996" s="2" t="s">
        <v>1017</v>
      </c>
      <c r="P996" s="25">
        <v>7.8</v>
      </c>
      <c r="Q996" t="str">
        <f t="shared" si="137"/>
        <v>0995</v>
      </c>
      <c r="R996" t="str">
        <f>IF('RETAIL SALES DATA.'!H996&gt;AVERAGE('RETAIL SALES DATA.'!H996:H1995),"HIGHEST VALUE","LOWEST VALUE")</f>
        <v>HIGHEST VALUE</v>
      </c>
      <c r="S996" t="str">
        <f t="shared" si="145"/>
        <v>Profit</v>
      </c>
      <c r="T996" t="str">
        <f t="shared" si="138"/>
        <v>Ricky Kelly</v>
      </c>
      <c r="U996" t="str">
        <f t="shared" si="139"/>
        <v>Keyboard</v>
      </c>
      <c r="V996">
        <f t="shared" si="140"/>
        <v>2025</v>
      </c>
      <c r="W996">
        <f t="shared" si="141"/>
        <v>7</v>
      </c>
      <c r="X996">
        <f t="shared" si="142"/>
        <v>25</v>
      </c>
      <c r="Y996" t="str">
        <f t="shared" si="143"/>
        <v>Jun</v>
      </c>
      <c r="Z996">
        <f t="shared" si="144"/>
        <v>10</v>
      </c>
    </row>
    <row r="997" spans="1:26" ht="15.75" customHeight="1" x14ac:dyDescent="0.3">
      <c r="A997" s="2" t="s">
        <v>2268</v>
      </c>
      <c r="B997" s="2" t="s">
        <v>2269</v>
      </c>
      <c r="C997" s="2" t="s">
        <v>72</v>
      </c>
      <c r="D997" s="2" t="s">
        <v>31</v>
      </c>
      <c r="E997" s="2" t="s">
        <v>32</v>
      </c>
      <c r="F997" s="2">
        <v>17</v>
      </c>
      <c r="G997" s="2">
        <v>2927.41</v>
      </c>
      <c r="H997" s="2">
        <v>49765.97</v>
      </c>
      <c r="I997" s="2">
        <v>26765.69</v>
      </c>
      <c r="J997" s="2">
        <v>23000.28</v>
      </c>
      <c r="K997" s="3">
        <v>45707</v>
      </c>
      <c r="L997" s="3">
        <v>45717</v>
      </c>
      <c r="M997" s="2" t="s">
        <v>181</v>
      </c>
      <c r="N997" s="2">
        <v>4</v>
      </c>
      <c r="O997" s="2" t="s">
        <v>512</v>
      </c>
      <c r="P997" s="25">
        <v>8.6</v>
      </c>
      <c r="Q997" t="str">
        <f t="shared" si="137"/>
        <v>0996</v>
      </c>
      <c r="R997" t="str">
        <f>IF('RETAIL SALES DATA.'!H997&gt;AVERAGE('RETAIL SALES DATA.'!H997:H1996),"HIGHEST VALUE","LOWEST VALUE")</f>
        <v>HIGHEST VALUE</v>
      </c>
      <c r="S997" t="str">
        <f t="shared" si="145"/>
        <v>Profit</v>
      </c>
      <c r="T997" t="str">
        <f t="shared" si="138"/>
        <v>Melissa Garcia</v>
      </c>
      <c r="U997" t="str">
        <f t="shared" si="139"/>
        <v>Chair</v>
      </c>
      <c r="V997">
        <f t="shared" si="140"/>
        <v>2025</v>
      </c>
      <c r="W997">
        <f t="shared" si="141"/>
        <v>3</v>
      </c>
      <c r="X997">
        <f t="shared" si="142"/>
        <v>19</v>
      </c>
      <c r="Y997" t="str">
        <f t="shared" si="143"/>
        <v>Feb</v>
      </c>
      <c r="Z997">
        <f t="shared" si="144"/>
        <v>10</v>
      </c>
    </row>
    <row r="998" spans="1:26" ht="15.75" customHeight="1" x14ac:dyDescent="0.3">
      <c r="A998" s="2" t="s">
        <v>2270</v>
      </c>
      <c r="B998" s="2" t="s">
        <v>2271</v>
      </c>
      <c r="C998" s="2" t="s">
        <v>18</v>
      </c>
      <c r="D998" s="2" t="s">
        <v>19</v>
      </c>
      <c r="E998" s="2" t="s">
        <v>44</v>
      </c>
      <c r="F998" s="2">
        <v>19</v>
      </c>
      <c r="G998" s="2">
        <v>285.72000000000003</v>
      </c>
      <c r="H998" s="2">
        <v>5428.68</v>
      </c>
      <c r="I998" s="2">
        <v>2882.01</v>
      </c>
      <c r="J998" s="2">
        <v>2546.67</v>
      </c>
      <c r="K998" s="3">
        <v>45891</v>
      </c>
      <c r="L998" s="3">
        <v>45893</v>
      </c>
      <c r="M998" s="2" t="s">
        <v>45</v>
      </c>
      <c r="N998" s="2">
        <v>5</v>
      </c>
      <c r="O998" s="2" t="s">
        <v>446</v>
      </c>
      <c r="P998" s="25">
        <v>6.3</v>
      </c>
      <c r="Q998" t="str">
        <f t="shared" si="137"/>
        <v>0997</v>
      </c>
      <c r="R998" t="str">
        <f>IF('RETAIL SALES DATA.'!H998&gt;AVERAGE('RETAIL SALES DATA.'!H998:H1997),"HIGHEST VALUE","LOWEST VALUE")</f>
        <v>LOWEST VALUE</v>
      </c>
      <c r="S998" t="str">
        <f t="shared" si="145"/>
        <v>Profit</v>
      </c>
      <c r="T998" t="str">
        <f t="shared" si="138"/>
        <v>Tamara Navarro</v>
      </c>
      <c r="U998" t="str">
        <f t="shared" si="139"/>
        <v>Pen</v>
      </c>
      <c r="V998">
        <f t="shared" si="140"/>
        <v>2025</v>
      </c>
      <c r="W998">
        <f t="shared" si="141"/>
        <v>8</v>
      </c>
      <c r="X998">
        <f t="shared" si="142"/>
        <v>22</v>
      </c>
      <c r="Y998" t="str">
        <f t="shared" si="143"/>
        <v>Aug</v>
      </c>
      <c r="Z998">
        <f t="shared" si="144"/>
        <v>2</v>
      </c>
    </row>
    <row r="999" spans="1:26" ht="15.75" customHeight="1" x14ac:dyDescent="0.3">
      <c r="A999" s="2" t="s">
        <v>2272</v>
      </c>
      <c r="B999" s="2" t="s">
        <v>2273</v>
      </c>
      <c r="C999" s="2" t="s">
        <v>30</v>
      </c>
      <c r="D999" s="2" t="s">
        <v>31</v>
      </c>
      <c r="E999" s="2" t="s">
        <v>32</v>
      </c>
      <c r="F999" s="2">
        <v>3</v>
      </c>
      <c r="G999" s="2">
        <v>3368.58</v>
      </c>
      <c r="H999" s="2">
        <v>10105.74</v>
      </c>
      <c r="I999" s="2">
        <v>7113.95</v>
      </c>
      <c r="J999" s="2">
        <v>2991.79</v>
      </c>
      <c r="K999" s="3">
        <v>45843</v>
      </c>
      <c r="L999" s="3">
        <v>45848</v>
      </c>
      <c r="M999" s="2" t="s">
        <v>181</v>
      </c>
      <c r="N999" s="2">
        <v>2</v>
      </c>
      <c r="O999" s="2" t="s">
        <v>923</v>
      </c>
      <c r="P999" s="25">
        <v>6.3</v>
      </c>
      <c r="Q999" t="str">
        <f t="shared" si="137"/>
        <v>0998</v>
      </c>
      <c r="R999" t="str">
        <f>IF('RETAIL SALES DATA.'!H999&gt;AVERAGE('RETAIL SALES DATA.'!H999:H1998),"HIGHEST VALUE","LOWEST VALUE")</f>
        <v>LOWEST VALUE</v>
      </c>
      <c r="S999" t="str">
        <f t="shared" si="145"/>
        <v>Profit</v>
      </c>
      <c r="T999" t="str">
        <f t="shared" si="138"/>
        <v>Stephanie Bailey</v>
      </c>
      <c r="U999" t="str">
        <f t="shared" si="139"/>
        <v>Desk</v>
      </c>
      <c r="V999">
        <f t="shared" si="140"/>
        <v>2025</v>
      </c>
      <c r="W999">
        <f t="shared" si="141"/>
        <v>7</v>
      </c>
      <c r="X999">
        <f t="shared" si="142"/>
        <v>5</v>
      </c>
      <c r="Y999" t="str">
        <f t="shared" si="143"/>
        <v>Jul</v>
      </c>
      <c r="Z999">
        <f t="shared" si="144"/>
        <v>5</v>
      </c>
    </row>
    <row r="1000" spans="1:26" ht="15.75" customHeight="1" x14ac:dyDescent="0.3">
      <c r="A1000" s="2" t="s">
        <v>2274</v>
      </c>
      <c r="B1000" s="2" t="s">
        <v>2275</v>
      </c>
      <c r="C1000" s="2" t="s">
        <v>88</v>
      </c>
      <c r="D1000" s="2" t="s">
        <v>31</v>
      </c>
      <c r="E1000" s="2" t="s">
        <v>32</v>
      </c>
      <c r="F1000" s="2">
        <v>17</v>
      </c>
      <c r="G1000" s="2">
        <v>1622.6</v>
      </c>
      <c r="H1000" s="2">
        <v>27584.2</v>
      </c>
      <c r="I1000" s="2">
        <v>20341.689999999999</v>
      </c>
      <c r="J1000" s="2">
        <v>7242.51</v>
      </c>
      <c r="K1000" s="3">
        <v>46058</v>
      </c>
      <c r="L1000" s="3">
        <v>46064</v>
      </c>
      <c r="M1000" s="2" t="s">
        <v>21</v>
      </c>
      <c r="N1000" s="2">
        <v>4</v>
      </c>
      <c r="O1000" s="2" t="s">
        <v>683</v>
      </c>
      <c r="P1000" s="25">
        <v>7</v>
      </c>
      <c r="Q1000" t="str">
        <f t="shared" si="137"/>
        <v>0999</v>
      </c>
      <c r="R1000" t="str">
        <f>IF('RETAIL SALES DATA.'!H1000&gt;AVERAGE('RETAIL SALES DATA.'!H1000:H1999),"HIGHEST VALUE","LOWEST VALUE")</f>
        <v>LOWEST VALUE</v>
      </c>
      <c r="S1000" t="str">
        <f t="shared" si="145"/>
        <v>Profit</v>
      </c>
      <c r="T1000" t="str">
        <f t="shared" si="138"/>
        <v>Jonathon Cantu</v>
      </c>
      <c r="U1000" t="str">
        <f t="shared" si="139"/>
        <v>Cupboard</v>
      </c>
      <c r="V1000">
        <f t="shared" si="140"/>
        <v>2026</v>
      </c>
      <c r="W1000">
        <f t="shared" si="141"/>
        <v>2</v>
      </c>
      <c r="X1000">
        <f t="shared" si="142"/>
        <v>5</v>
      </c>
      <c r="Y1000" t="str">
        <f t="shared" si="143"/>
        <v>Feb</v>
      </c>
      <c r="Z1000">
        <f t="shared" si="144"/>
        <v>6</v>
      </c>
    </row>
    <row r="1001" spans="1:26" ht="15.75" customHeight="1" x14ac:dyDescent="0.3">
      <c r="A1001" s="2" t="s">
        <v>2276</v>
      </c>
      <c r="B1001" s="2" t="s">
        <v>2277</v>
      </c>
      <c r="C1001" s="2" t="s">
        <v>88</v>
      </c>
      <c r="D1001" s="2" t="s">
        <v>31</v>
      </c>
      <c r="E1001" s="2" t="s">
        <v>32</v>
      </c>
      <c r="F1001" s="2">
        <v>16</v>
      </c>
      <c r="G1001" s="2">
        <v>3752.49</v>
      </c>
      <c r="H1001" s="2">
        <v>60039.839999999997</v>
      </c>
      <c r="I1001" s="2">
        <v>36366.230000000003</v>
      </c>
      <c r="J1001" s="2">
        <v>23673.61</v>
      </c>
      <c r="K1001" s="3">
        <v>45821</v>
      </c>
      <c r="L1001" s="3">
        <v>45827</v>
      </c>
      <c r="M1001" s="2" t="s">
        <v>45</v>
      </c>
      <c r="N1001" s="2">
        <v>4</v>
      </c>
      <c r="O1001" s="2" t="s">
        <v>343</v>
      </c>
      <c r="P1001" s="25">
        <v>6.4</v>
      </c>
      <c r="Q1001" t="str">
        <f t="shared" si="137"/>
        <v>1000</v>
      </c>
      <c r="R1001" t="str">
        <f>IF('RETAIL SALES DATA.'!H1001&gt;AVERAGE('RETAIL SALES DATA.'!H1001:H2000),"HIGHEST VALUE","LOWEST VALUE")</f>
        <v>LOWEST VALUE</v>
      </c>
      <c r="S1001" t="str">
        <f t="shared" si="145"/>
        <v>Profit</v>
      </c>
      <c r="T1001" t="str">
        <f t="shared" si="138"/>
        <v>Matthew Bradley</v>
      </c>
      <c r="U1001" t="str">
        <f t="shared" si="139"/>
        <v>Cupboard</v>
      </c>
      <c r="V1001">
        <f t="shared" si="140"/>
        <v>2025</v>
      </c>
      <c r="W1001">
        <f t="shared" si="141"/>
        <v>6</v>
      </c>
      <c r="X1001">
        <f t="shared" si="142"/>
        <v>13</v>
      </c>
      <c r="Y1001" t="str">
        <f t="shared" si="143"/>
        <v>Jun</v>
      </c>
      <c r="Z1001">
        <f t="shared" si="144"/>
        <v>6</v>
      </c>
    </row>
    <row r="1094" spans="21:21" ht="15" customHeight="1" x14ac:dyDescent="0.3">
      <c r="U1094" s="6" t="s">
        <v>2307</v>
      </c>
    </row>
  </sheetData>
  <autoFilter ref="AI33:AI45" xr:uid="{00000000-0001-0000-0000-000000000000}">
    <sortState xmlns:xlrd2="http://schemas.microsoft.com/office/spreadsheetml/2017/richdata2" ref="AI34:AI45">
      <sortCondition ref="AI34:AI45" customList="Jan,Feb,Mar,Apr,May,Jun,Jul,Aug,Sep,Oct,Nov,Dec"/>
    </sortState>
  </autoFilter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C0D7-13DB-4CA6-A563-B86B23ABA4AC}">
  <dimension ref="A1:J100"/>
  <sheetViews>
    <sheetView tabSelected="1" topLeftCell="A26" zoomScale="63" workbookViewId="0">
      <selection activeCell="C98" sqref="C98:D99"/>
    </sheetView>
  </sheetViews>
  <sheetFormatPr defaultRowHeight="14.4" x14ac:dyDescent="0.3"/>
  <cols>
    <col min="1" max="1" width="37.21875" bestFit="1" customWidth="1"/>
    <col min="2" max="2" width="29.77734375" bestFit="1" customWidth="1"/>
    <col min="3" max="3" width="25.88671875" bestFit="1" customWidth="1"/>
    <col min="4" max="4" width="24.88671875" bestFit="1" customWidth="1"/>
    <col min="8" max="8" width="8.88671875" customWidth="1"/>
    <col min="9" max="9" width="16.109375" bestFit="1" customWidth="1"/>
    <col min="10" max="10" width="20.109375" bestFit="1" customWidth="1"/>
  </cols>
  <sheetData>
    <row r="1" spans="1:10" x14ac:dyDescent="0.3">
      <c r="A1" s="30" t="s">
        <v>2280</v>
      </c>
      <c r="B1" s="34" t="s">
        <v>2333</v>
      </c>
      <c r="C1" s="34" t="s">
        <v>2332</v>
      </c>
    </row>
    <row r="2" spans="1:10" x14ac:dyDescent="0.3">
      <c r="B2" s="32">
        <f>SUMIFS('RETAIL SALES DATA.'!F2:F1001,'RETAIL SALES DATA.'!C2:C1001,C2)</f>
        <v>633</v>
      </c>
      <c r="C2" s="32" t="str" cm="1">
        <f t="array" ref="C2:C16">_xlfn.UNIQUE('RETAIL SALES DATA.'!C2:C1001)</f>
        <v>Pen</v>
      </c>
    </row>
    <row r="3" spans="1:10" x14ac:dyDescent="0.3">
      <c r="B3" s="32">
        <f>SUMIFS('RETAIL SALES DATA.'!F3:F1002,'RETAIL SALES DATA.'!C3:C1002,C3)</f>
        <v>859</v>
      </c>
      <c r="C3" s="35" t="str">
        <v>Desk</v>
      </c>
      <c r="D3" s="7" t="s">
        <v>2286</v>
      </c>
    </row>
    <row r="4" spans="1:10" x14ac:dyDescent="0.3">
      <c r="B4" s="32">
        <f>SUMIFS('RETAIL SALES DATA.'!F4:F1003,'RETAIL SALES DATA.'!C4:C1003,C4)</f>
        <v>590</v>
      </c>
      <c r="C4" s="36" t="str">
        <v>Marker</v>
      </c>
      <c r="D4" s="28" t="s">
        <v>2287</v>
      </c>
      <c r="I4" s="8" t="s">
        <v>2278</v>
      </c>
      <c r="J4" s="11">
        <f>SUM('RETAIL SALES DATA.'!H2:H1001)</f>
        <v>26471143.579999961</v>
      </c>
    </row>
    <row r="5" spans="1:10" x14ac:dyDescent="0.3">
      <c r="B5" s="32">
        <f>SUMIFS('RETAIL SALES DATA.'!F5:F1004,'RETAIL SALES DATA.'!C5:C1004,C5)</f>
        <v>691</v>
      </c>
      <c r="C5" s="32" t="str">
        <v>Laptop</v>
      </c>
      <c r="I5" s="8" t="s">
        <v>2279</v>
      </c>
      <c r="J5" s="11">
        <f>SUM('RETAIL SALES DATA.'!J2:J1001)</f>
        <v>8204131.4099999862</v>
      </c>
    </row>
    <row r="6" spans="1:10" x14ac:dyDescent="0.3">
      <c r="B6" s="32">
        <f>SUMIFS('RETAIL SALES DATA.'!F6:F1005,'RETAIL SALES DATA.'!C6:C1005,C6)</f>
        <v>747</v>
      </c>
      <c r="C6" s="32" t="str">
        <v>Mouse</v>
      </c>
      <c r="I6" s="8" t="s">
        <v>2292</v>
      </c>
      <c r="J6" s="12">
        <f>SUM('RETAIL SALES DATA.'!F2:F1001)</f>
        <v>10506</v>
      </c>
    </row>
    <row r="7" spans="1:10" x14ac:dyDescent="0.3">
      <c r="B7" s="32">
        <f>SUMIFS('RETAIL SALES DATA.'!F7:F1006,'RETAIL SALES DATA.'!C7:C1006,C7)</f>
        <v>635</v>
      </c>
      <c r="C7" s="32" t="str">
        <v>Notebook</v>
      </c>
      <c r="I7" s="8"/>
      <c r="J7" s="8"/>
    </row>
    <row r="8" spans="1:10" x14ac:dyDescent="0.3">
      <c r="B8" s="32">
        <f>SUMIFS('RETAIL SALES DATA.'!F8:F1007,'RETAIL SALES DATA.'!C8:C1007,C8)</f>
        <v>688</v>
      </c>
      <c r="C8" s="32" t="str">
        <v>Table</v>
      </c>
    </row>
    <row r="9" spans="1:10" x14ac:dyDescent="0.3">
      <c r="B9" s="32">
        <f>SUMIFS('RETAIL SALES DATA.'!F9:F1008,'RETAIL SALES DATA.'!C9:C1008,C9)</f>
        <v>768</v>
      </c>
      <c r="C9" s="32" t="str">
        <v>Chair</v>
      </c>
    </row>
    <row r="10" spans="1:10" x14ac:dyDescent="0.3">
      <c r="B10" s="32">
        <f>SUMIFS('RETAIL SALES DATA.'!F10:F1009,'RETAIL SALES DATA.'!C10:C1009,C10)</f>
        <v>672</v>
      </c>
      <c r="C10" s="32" t="str">
        <v>Cupboard</v>
      </c>
    </row>
    <row r="11" spans="1:10" x14ac:dyDescent="0.3">
      <c r="B11" s="32">
        <f>SUMIFS('RETAIL SALES DATA.'!F11:F1010,'RETAIL SALES DATA.'!C11:C1010,C11)</f>
        <v>832</v>
      </c>
      <c r="C11" s="32" t="str">
        <v>Printer</v>
      </c>
    </row>
    <row r="12" spans="1:10" x14ac:dyDescent="0.3">
      <c r="B12" s="32">
        <f>SUMIFS('RETAIL SALES DATA.'!F12:F1011,'RETAIL SALES DATA.'!C12:C1011,C12)</f>
        <v>693</v>
      </c>
      <c r="C12" s="32" t="str">
        <v>Sofa</v>
      </c>
    </row>
    <row r="13" spans="1:10" x14ac:dyDescent="0.3">
      <c r="B13" s="32">
        <f>SUMIFS('RETAIL SALES DATA.'!F13:F1012,'RETAIL SALES DATA.'!C13:C1012,C13)</f>
        <v>767</v>
      </c>
      <c r="C13" s="32" t="str">
        <v>File</v>
      </c>
    </row>
    <row r="14" spans="1:10" x14ac:dyDescent="0.3">
      <c r="B14" s="32">
        <f>SUMIFS('RETAIL SALES DATA.'!F14:F1013,'RETAIL SALES DATA.'!C14:C1013,C14)</f>
        <v>671</v>
      </c>
      <c r="C14" s="32" t="str">
        <v>Keyboard</v>
      </c>
    </row>
    <row r="15" spans="1:10" x14ac:dyDescent="0.3">
      <c r="B15" s="32">
        <f>SUMIFS('RETAIL SALES DATA.'!F15:F1014,'RETAIL SALES DATA.'!C15:C1014,C15)</f>
        <v>657</v>
      </c>
      <c r="C15" s="32" t="str">
        <v>Monitor</v>
      </c>
    </row>
    <row r="16" spans="1:10" x14ac:dyDescent="0.3">
      <c r="B16" s="32">
        <f>SUMIFS('RETAIL SALES DATA.'!F16:F1015,'RETAIL SALES DATA.'!C16:C1015,C16)</f>
        <v>603</v>
      </c>
      <c r="C16" s="32" t="str">
        <v>Smartphone</v>
      </c>
    </row>
    <row r="17" spans="1:4" x14ac:dyDescent="0.3">
      <c r="B17" s="33"/>
      <c r="C17" s="33"/>
    </row>
    <row r="18" spans="1:4" x14ac:dyDescent="0.3">
      <c r="A18" s="29" t="s">
        <v>2285</v>
      </c>
    </row>
    <row r="19" spans="1:4" x14ac:dyDescent="0.3">
      <c r="B19" s="39" t="s">
        <v>2314</v>
      </c>
      <c r="C19" s="39" t="s">
        <v>2283</v>
      </c>
      <c r="D19" s="39" t="s">
        <v>2284</v>
      </c>
    </row>
    <row r="20" spans="1:4" x14ac:dyDescent="0.3">
      <c r="B20" s="37" t="s">
        <v>2281</v>
      </c>
      <c r="C20" s="38">
        <f>MAX('RETAIL SALES DATA.'!H2:H1001)</f>
        <v>96471.6</v>
      </c>
      <c r="D20" s="37">
        <f>MIN('RETAIL SALES DATA.'!H2:H1001)</f>
        <v>84.04</v>
      </c>
    </row>
    <row r="21" spans="1:4" x14ac:dyDescent="0.3">
      <c r="B21" s="37" t="s">
        <v>2282</v>
      </c>
      <c r="C21" s="38">
        <f>MAX('RETAIL SALES DATA.'!J2:J1001)</f>
        <v>41219.440000000002</v>
      </c>
      <c r="D21" s="37">
        <f>MIN('RETAIL SALES DATA.'!J2:J1001)</f>
        <v>10.48</v>
      </c>
    </row>
    <row r="24" spans="1:4" x14ac:dyDescent="0.3">
      <c r="A24" s="31" t="s">
        <v>2288</v>
      </c>
    </row>
    <row r="27" spans="1:4" x14ac:dyDescent="0.3">
      <c r="B27" s="41" t="s">
        <v>2335</v>
      </c>
      <c r="C27" s="41" t="s">
        <v>2334</v>
      </c>
    </row>
    <row r="28" spans="1:4" x14ac:dyDescent="0.3">
      <c r="B28" s="40">
        <f>AVERAGE('RETAIL SALES DATA.'!J2:J1001)</f>
        <v>8204.1314099999854</v>
      </c>
      <c r="C28" s="40">
        <f>AVERAGE('RETAIL SALES DATA.'!H2:H1001)</f>
        <v>26471.14357999996</v>
      </c>
    </row>
    <row r="30" spans="1:4" x14ac:dyDescent="0.3">
      <c r="A30" s="6" t="s">
        <v>2289</v>
      </c>
    </row>
    <row r="31" spans="1:4" x14ac:dyDescent="0.3">
      <c r="B31" s="42"/>
      <c r="C31" s="42"/>
    </row>
    <row r="32" spans="1:4" x14ac:dyDescent="0.3">
      <c r="B32" s="42"/>
      <c r="C32" s="42"/>
    </row>
    <row r="33" spans="1:4" x14ac:dyDescent="0.3">
      <c r="B33" s="42" t="str" cm="1">
        <f t="array" ref="B33:B36">_xlfn.UNIQUE('RETAIL SALES DATA.'!E2:E1001)</f>
        <v>South</v>
      </c>
      <c r="C33" s="43">
        <f>SUMIF('RETAIL SALES DATA.'!E2:E1001,B33,'RETAIL SALES DATA.'!H2:H1001)</f>
        <v>5968196.4000000013</v>
      </c>
    </row>
    <row r="34" spans="1:4" x14ac:dyDescent="0.3">
      <c r="B34" s="42" t="str">
        <v>North</v>
      </c>
      <c r="C34" s="43">
        <f>SUMIF('RETAIL SALES DATA.'!E3:E1002,B34,'RETAIL SALES DATA.'!H3:H1002)</f>
        <v>6653980.9200000009</v>
      </c>
    </row>
    <row r="35" spans="1:4" x14ac:dyDescent="0.3">
      <c r="B35" s="42" t="str">
        <v>West</v>
      </c>
      <c r="C35" s="43">
        <f>SUMIF('RETAIL SALES DATA.'!E4:E1003,B35,'RETAIL SALES DATA.'!H4:H1003)</f>
        <v>7688782.5600000005</v>
      </c>
      <c r="D35" s="8" t="s">
        <v>2290</v>
      </c>
    </row>
    <row r="36" spans="1:4" x14ac:dyDescent="0.3">
      <c r="B36" s="42" t="str">
        <v>East</v>
      </c>
      <c r="C36" s="43">
        <f>SUMIF('RETAIL SALES DATA.'!E5:E1004,B36,'RETAIL SALES DATA.'!H5:H1004)</f>
        <v>6160183.7000000002</v>
      </c>
    </row>
    <row r="37" spans="1:4" x14ac:dyDescent="0.3">
      <c r="B37" s="8"/>
      <c r="C37" s="4"/>
    </row>
    <row r="38" spans="1:4" x14ac:dyDescent="0.3">
      <c r="A38" s="6" t="s">
        <v>2291</v>
      </c>
      <c r="B38" s="8"/>
    </row>
    <row r="39" spans="1:4" x14ac:dyDescent="0.3">
      <c r="B39" s="8"/>
    </row>
    <row r="40" spans="1:4" x14ac:dyDescent="0.3">
      <c r="B40" s="8"/>
    </row>
    <row r="41" spans="1:4" x14ac:dyDescent="0.3">
      <c r="B41" s="8" t="str" cm="1">
        <f t="array" ref="B41:B44">_xlfn.UNIQUE('RETAIL SALES DATA.'!E2:E1001)</f>
        <v>South</v>
      </c>
      <c r="C41" s="10">
        <f>COUNTIF('RETAIL SALES DATA.'!E2:E1001,B41)</f>
        <v>230</v>
      </c>
    </row>
    <row r="42" spans="1:4" x14ac:dyDescent="0.3">
      <c r="B42" s="8" t="str">
        <v>North</v>
      </c>
      <c r="C42" s="9">
        <f>COUNTIF('RETAIL SALES DATA.'!E3:E1002,B42)</f>
        <v>251</v>
      </c>
    </row>
    <row r="43" spans="1:4" x14ac:dyDescent="0.3">
      <c r="B43" s="8" t="str">
        <v>West</v>
      </c>
      <c r="C43" s="7">
        <f>COUNTIF('RETAIL SALES DATA.'!E4:E1003,B43)</f>
        <v>282</v>
      </c>
    </row>
    <row r="44" spans="1:4" x14ac:dyDescent="0.3">
      <c r="B44" s="8" t="str">
        <v>East</v>
      </c>
      <c r="C44" s="5">
        <f>COUNTIF('RETAIL SALES DATA.'!E5:E1004,B44)</f>
        <v>237</v>
      </c>
    </row>
    <row r="45" spans="1:4" x14ac:dyDescent="0.3">
      <c r="B45" s="8"/>
    </row>
    <row r="47" spans="1:4" x14ac:dyDescent="0.3">
      <c r="A47" s="6" t="s">
        <v>2293</v>
      </c>
    </row>
    <row r="48" spans="1:4" x14ac:dyDescent="0.3">
      <c r="B48" s="8" t="str" cm="1">
        <f t="array" ref="B48:B52">_xlfn.UNIQUE('RETAIL SALES DATA.'!E17:E1016)</f>
        <v>West</v>
      </c>
      <c r="C48" s="13">
        <f>SUMIF('RETAIL SALES DATA.'!E17:E1016,B48,'RETAIL SALES DATA.'!H17:H1016)</f>
        <v>7566871.8299999991</v>
      </c>
    </row>
    <row r="49" spans="1:4" x14ac:dyDescent="0.3">
      <c r="B49" s="8" t="str">
        <v>North</v>
      </c>
      <c r="C49" s="13">
        <f>SUMIF('RETAIL SALES DATA.'!E18:E1017,B49,'RETAIL SALES DATA.'!H18:H1017)</f>
        <v>6582015.8300000001</v>
      </c>
    </row>
    <row r="50" spans="1:4" x14ac:dyDescent="0.3">
      <c r="B50" s="8" t="str">
        <v>South</v>
      </c>
      <c r="C50" s="14">
        <f>SUMIF('RETAIL SALES DATA.'!E19:E1018,B50,'RETAIL SALES DATA.'!H19:H1018)</f>
        <v>5909004.5500000017</v>
      </c>
    </row>
    <row r="51" spans="1:4" x14ac:dyDescent="0.3">
      <c r="B51" s="8" t="str">
        <v>East</v>
      </c>
      <c r="C51" s="13">
        <f>SUMIF('RETAIL SALES DATA.'!E20:E1019,B51,'RETAIL SALES DATA.'!H20:H1019)</f>
        <v>6062618.1399999997</v>
      </c>
    </row>
    <row r="52" spans="1:4" x14ac:dyDescent="0.3">
      <c r="B52">
        <v>0</v>
      </c>
      <c r="C52" s="15"/>
    </row>
    <row r="53" spans="1:4" x14ac:dyDescent="0.3">
      <c r="A53" s="6" t="s">
        <v>2294</v>
      </c>
    </row>
    <row r="54" spans="1:4" x14ac:dyDescent="0.3">
      <c r="B54" s="8" t="s">
        <v>9</v>
      </c>
      <c r="C54" s="8">
        <f>COUNTIF('RETAIL SALES DATA.'!S2:S1001,'RETAIL SALES DATA.'!S978)</f>
        <v>1000</v>
      </c>
    </row>
    <row r="55" spans="1:4" x14ac:dyDescent="0.3">
      <c r="B55" s="8" t="s">
        <v>2297</v>
      </c>
      <c r="C55" s="8">
        <f>COUNTIF('RETAIL SALES DATA.'!S974:S1001,"Loss")</f>
        <v>0</v>
      </c>
    </row>
    <row r="57" spans="1:4" x14ac:dyDescent="0.3">
      <c r="A57" s="6" t="s">
        <v>2298</v>
      </c>
    </row>
    <row r="58" spans="1:4" x14ac:dyDescent="0.3">
      <c r="B58" s="8" t="s">
        <v>2300</v>
      </c>
      <c r="C58" s="8">
        <f>COUNTIF('RETAIL SALES DATA.'!R2:R1001,'RETAIL SALES DATA.'!R980)</f>
        <v>405</v>
      </c>
      <c r="D58" s="6" t="s">
        <v>2302</v>
      </c>
    </row>
    <row r="59" spans="1:4" x14ac:dyDescent="0.3">
      <c r="B59" s="8" t="s">
        <v>2301</v>
      </c>
      <c r="C59" s="8">
        <f>COUNTIF('RETAIL SALES DATA.'!R1:R1001,'RETAIL SALES DATA.'!R2)</f>
        <v>595</v>
      </c>
      <c r="D59" s="6" t="s">
        <v>2303</v>
      </c>
    </row>
    <row r="60" spans="1:4" x14ac:dyDescent="0.3">
      <c r="B60" s="8"/>
      <c r="C60" s="8"/>
    </row>
    <row r="62" spans="1:4" x14ac:dyDescent="0.3">
      <c r="A62" t="s">
        <v>2304</v>
      </c>
    </row>
    <row r="63" spans="1:4" x14ac:dyDescent="0.3">
      <c r="B63" t="s">
        <v>2305</v>
      </c>
      <c r="C63">
        <v>1000</v>
      </c>
    </row>
    <row r="65" spans="2:7" x14ac:dyDescent="0.3">
      <c r="B65" s="6" t="s">
        <v>2312</v>
      </c>
      <c r="C65" s="21" cm="1">
        <f t="array" ref="C65:C67">_xlfn.UNIQUE('RETAIL SALES DATA.'!V2:V1001)</f>
        <v>2025</v>
      </c>
      <c r="D65" s="21">
        <f>SUMIF('RETAIL SALES DATA.'!V2:V1001,'RETAIL SALES DATA.'!V965,'RETAIL SALES DATA.'!H2:H1001)</f>
        <v>13413606.270000013</v>
      </c>
      <c r="E65" s="21"/>
    </row>
    <row r="66" spans="2:7" x14ac:dyDescent="0.3">
      <c r="C66" s="21">
        <v>2026</v>
      </c>
      <c r="D66" s="21">
        <f>SUMIF('RETAIL SALES DATA.'!V3:V1002,'RETAIL SALES DATA.'!V966,'RETAIL SALES DATA.'!H3:H1002)</f>
        <v>8340960.2500000028</v>
      </c>
      <c r="E66" s="21"/>
    </row>
    <row r="67" spans="2:7" x14ac:dyDescent="0.3">
      <c r="C67" s="21">
        <v>2024</v>
      </c>
      <c r="D67" s="21">
        <f>SUMIF('RETAIL SALES DATA.'!V4:V1003,'RETAIL SALES DATA.'!V967,'RETAIL SALES DATA.'!H4:H1003)</f>
        <v>4690875.7600000007</v>
      </c>
      <c r="E67" s="21"/>
    </row>
    <row r="69" spans="2:7" x14ac:dyDescent="0.3">
      <c r="B69" s="8"/>
    </row>
    <row r="70" spans="2:7" x14ac:dyDescent="0.3">
      <c r="B70" s="8" t="s">
        <v>2313</v>
      </c>
      <c r="C70" s="6"/>
    </row>
    <row r="71" spans="2:7" x14ac:dyDescent="0.3">
      <c r="B71" s="8"/>
      <c r="C71" s="8"/>
    </row>
    <row r="72" spans="2:7" x14ac:dyDescent="0.3">
      <c r="B72" s="8"/>
      <c r="C72" s="27" t="s">
        <v>2310</v>
      </c>
      <c r="D72" s="27">
        <v>2025</v>
      </c>
      <c r="E72" s="27">
        <v>2024</v>
      </c>
      <c r="F72" s="27">
        <v>2026</v>
      </c>
      <c r="G72" s="8"/>
    </row>
    <row r="73" spans="2:7" x14ac:dyDescent="0.3">
      <c r="B73" s="8"/>
      <c r="C73" s="27" t="s">
        <v>2316</v>
      </c>
      <c r="D73" s="26">
        <v>931394.12000000011</v>
      </c>
      <c r="E73" s="26">
        <v>0</v>
      </c>
      <c r="F73" s="26">
        <v>1122389.6800000002</v>
      </c>
    </row>
    <row r="74" spans="2:7" x14ac:dyDescent="0.3">
      <c r="B74" s="8"/>
      <c r="C74" s="27" t="s">
        <v>2320</v>
      </c>
      <c r="D74" s="26">
        <v>1188601.5</v>
      </c>
      <c r="E74" s="26">
        <v>0</v>
      </c>
      <c r="F74" s="26">
        <v>855184.88</v>
      </c>
    </row>
    <row r="75" spans="2:7" x14ac:dyDescent="0.3">
      <c r="B75" s="8"/>
      <c r="C75" s="27" t="s">
        <v>2323</v>
      </c>
      <c r="D75" s="26">
        <v>1343369.7399999998</v>
      </c>
      <c r="E75" s="26">
        <v>1343369.7399999998</v>
      </c>
      <c r="F75" s="26">
        <v>0</v>
      </c>
    </row>
    <row r="76" spans="2:7" x14ac:dyDescent="0.3">
      <c r="B76" s="8"/>
      <c r="C76" s="27" t="s">
        <v>2324</v>
      </c>
      <c r="D76" s="26">
        <v>898947.59000000008</v>
      </c>
      <c r="E76" s="26">
        <v>1380237.0200000005</v>
      </c>
      <c r="F76" s="26">
        <v>898947.59000000008</v>
      </c>
    </row>
    <row r="77" spans="2:7" x14ac:dyDescent="0.3">
      <c r="B77" s="8"/>
      <c r="C77" s="27" t="s">
        <v>2317</v>
      </c>
      <c r="D77" s="26">
        <v>530012.66000000015</v>
      </c>
      <c r="E77" s="26">
        <v>1003309.67</v>
      </c>
      <c r="F77" s="26">
        <v>530012.66000000015</v>
      </c>
    </row>
    <row r="78" spans="2:7" x14ac:dyDescent="0.3">
      <c r="B78" s="8"/>
      <c r="C78" s="27" t="s">
        <v>2322</v>
      </c>
      <c r="D78" s="26">
        <v>1180005.8</v>
      </c>
      <c r="E78" s="26">
        <v>0</v>
      </c>
      <c r="F78" s="26">
        <v>1180005.8</v>
      </c>
    </row>
    <row r="79" spans="2:7" x14ac:dyDescent="0.3">
      <c r="B79" s="8"/>
      <c r="C79" s="27" t="s">
        <v>2318</v>
      </c>
      <c r="D79" s="26">
        <v>1051466.1399999999</v>
      </c>
      <c r="E79" s="26">
        <v>1051466.1399999999</v>
      </c>
      <c r="F79" s="26">
        <v>0</v>
      </c>
    </row>
    <row r="80" spans="2:7" x14ac:dyDescent="0.3">
      <c r="B80" s="8"/>
      <c r="C80" s="27" t="s">
        <v>2325</v>
      </c>
      <c r="D80" s="26">
        <v>1122773.1399999999</v>
      </c>
      <c r="E80" s="26">
        <v>1122773.1399999999</v>
      </c>
      <c r="F80" s="26">
        <v>1435955.8999999997</v>
      </c>
    </row>
    <row r="81" spans="2:6" x14ac:dyDescent="0.3">
      <c r="B81" s="8"/>
      <c r="C81" s="27" t="s">
        <v>2315</v>
      </c>
      <c r="D81" s="26">
        <v>1045399.34</v>
      </c>
      <c r="E81" s="26">
        <v>1045399.34</v>
      </c>
      <c r="F81" s="26">
        <v>1045399.34</v>
      </c>
    </row>
    <row r="82" spans="2:6" x14ac:dyDescent="0.3">
      <c r="B82" s="8"/>
      <c r="C82" s="27" t="s">
        <v>2326</v>
      </c>
      <c r="D82" s="26">
        <v>0</v>
      </c>
      <c r="E82" s="26">
        <v>1137093.3600000001</v>
      </c>
      <c r="F82" s="26">
        <v>1301211.4099999997</v>
      </c>
    </row>
    <row r="83" spans="2:6" x14ac:dyDescent="0.3">
      <c r="B83" s="8"/>
      <c r="C83" s="27" t="s">
        <v>2319</v>
      </c>
      <c r="D83" s="26">
        <v>1086755.5099999998</v>
      </c>
      <c r="E83" s="26">
        <v>0</v>
      </c>
      <c r="F83" s="26">
        <v>1086755.5099999998</v>
      </c>
    </row>
    <row r="84" spans="2:6" x14ac:dyDescent="0.3">
      <c r="B84" s="8"/>
      <c r="C84" s="27" t="s">
        <v>2321</v>
      </c>
      <c r="D84" s="26">
        <v>1027155.3199999998</v>
      </c>
      <c r="E84" s="26">
        <v>1027155.3199999998</v>
      </c>
      <c r="F84" s="26">
        <v>1027155.3199999998</v>
      </c>
    </row>
    <row r="85" spans="2:6" x14ac:dyDescent="0.3">
      <c r="B85" s="8"/>
    </row>
    <row r="86" spans="2:6" x14ac:dyDescent="0.3">
      <c r="B86" s="8"/>
    </row>
    <row r="87" spans="2:6" x14ac:dyDescent="0.3">
      <c r="B87" s="8" t="s">
        <v>2312</v>
      </c>
      <c r="C87" s="6"/>
      <c r="D87" s="6"/>
    </row>
    <row r="88" spans="2:6" x14ac:dyDescent="0.3">
      <c r="B88" s="8"/>
      <c r="C88" s="6"/>
      <c r="D88" s="6"/>
    </row>
    <row r="89" spans="2:6" x14ac:dyDescent="0.3">
      <c r="B89" s="8"/>
      <c r="C89" s="6" t="s">
        <v>2309</v>
      </c>
      <c r="D89" s="6"/>
    </row>
    <row r="90" spans="2:6" x14ac:dyDescent="0.3">
      <c r="B90" s="8"/>
      <c r="C90" s="6">
        <v>2024</v>
      </c>
      <c r="D90" s="6">
        <v>8340960.2500000028</v>
      </c>
    </row>
    <row r="91" spans="2:6" x14ac:dyDescent="0.3">
      <c r="B91" s="8"/>
      <c r="C91" s="6">
        <v>2025</v>
      </c>
      <c r="D91" s="6">
        <v>13413606.270000013</v>
      </c>
    </row>
    <row r="92" spans="2:6" x14ac:dyDescent="0.3">
      <c r="B92" s="8"/>
      <c r="C92" s="6">
        <v>2026</v>
      </c>
      <c r="D92" s="6">
        <v>4716577.0600000005</v>
      </c>
    </row>
    <row r="93" spans="2:6" x14ac:dyDescent="0.3">
      <c r="B93" s="8"/>
    </row>
    <row r="94" spans="2:6" x14ac:dyDescent="0.3">
      <c r="B94" s="8"/>
    </row>
    <row r="95" spans="2:6" x14ac:dyDescent="0.3">
      <c r="B95" s="8"/>
    </row>
    <row r="96" spans="2:6" x14ac:dyDescent="0.3">
      <c r="B96" s="8"/>
    </row>
    <row r="97" spans="2:4" x14ac:dyDescent="0.3">
      <c r="B97" s="8" t="s">
        <v>2327</v>
      </c>
      <c r="D97" s="8"/>
    </row>
    <row r="98" spans="2:4" x14ac:dyDescent="0.3">
      <c r="B98" s="8"/>
      <c r="C98" s="6" t="s">
        <v>2330</v>
      </c>
      <c r="D98" s="8">
        <f>MAX(Table13[DELIVERY DATE])</f>
        <v>10</v>
      </c>
    </row>
    <row r="99" spans="2:4" x14ac:dyDescent="0.3">
      <c r="B99" s="8"/>
      <c r="C99" s="6" t="s">
        <v>2331</v>
      </c>
      <c r="D99" s="8">
        <f>MIN(Table13[DELIVERY DATE])</f>
        <v>1</v>
      </c>
    </row>
    <row r="100" spans="2:4" x14ac:dyDescent="0.3">
      <c r="B100" s="8"/>
      <c r="D100" s="8"/>
    </row>
  </sheetData>
  <phoneticPr fontId="16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SALES DATA.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abswar t</dc:creator>
  <cp:lastModifiedBy>abswar t</cp:lastModifiedBy>
  <dcterms:created xsi:type="dcterms:W3CDTF">2026-05-22T08:54:09Z</dcterms:created>
  <dcterms:modified xsi:type="dcterms:W3CDTF">2026-07-18T11:00:12Z</dcterms:modified>
</cp:coreProperties>
</file>